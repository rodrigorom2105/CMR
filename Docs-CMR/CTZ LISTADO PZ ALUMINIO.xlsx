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C:\Users\CMR\Downloads\"/>
    </mc:Choice>
  </mc:AlternateContent>
  <xr:revisionPtr revIDLastSave="0" documentId="13_ncr:1_{4E26201F-A1A6-4CE5-AD67-52104C1DA0A0}" xr6:coauthVersionLast="47" xr6:coauthVersionMax="47" xr10:uidLastSave="{00000000-0000-0000-0000-000000000000}"/>
  <bookViews>
    <workbookView xWindow="0" yWindow="0" windowWidth="28800" windowHeight="11025" firstSheet="1" activeTab="1" xr2:uid="{00000000-000D-0000-FFFF-FFFF00000000}"/>
  </bookViews>
  <sheets>
    <sheet name="CTZ TERS MOVERE" sheetId="17" r:id="rId1"/>
    <sheet name="CTZ TERS MOVERE LISTADO" sheetId="18" r:id="rId2"/>
  </sheets>
  <definedNames>
    <definedName name="_xlnm.Print_Area" localSheetId="0">'CTZ TERS MOVERE'!$A$1:$H$61</definedName>
    <definedName name="_xlnm.Print_Area" localSheetId="1">'CTZ TERS MOVERE LISTADO'!$A$1:$H$61</definedName>
    <definedName name="_xlnm.Print_Titles" localSheetId="0">'CTZ TERS MOVERE'!$A:$H,'CTZ TERS MOVERE'!$1:$6</definedName>
    <definedName name="_xlnm.Print_Titles" localSheetId="1">'CTZ TERS MOVERE LISTADO'!$A:$H,'CTZ TERS MOVERE LISTADO'!$1:$6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7" i="18" l="1"/>
  <c r="H23" i="18" l="1"/>
  <c r="H22" i="18"/>
  <c r="H21" i="18"/>
  <c r="H20" i="18"/>
  <c r="H24" i="18" s="1"/>
  <c r="A14" i="18"/>
  <c r="A16" i="18" s="1"/>
  <c r="H12" i="18"/>
  <c r="L11" i="18"/>
  <c r="N11" i="18" s="1"/>
  <c r="L10" i="18"/>
  <c r="N10" i="18" s="1"/>
  <c r="N13" i="18" s="1"/>
  <c r="H10" i="18"/>
  <c r="B2" i="18"/>
  <c r="H14" i="18" l="1"/>
  <c r="H16" i="18" s="1"/>
  <c r="H28" i="18" s="1"/>
  <c r="H29" i="18" s="1"/>
  <c r="A14" i="17"/>
  <c r="A16" i="17" s="1"/>
  <c r="H30" i="18" l="1"/>
  <c r="H32" i="18" s="1"/>
  <c r="H33" i="18"/>
  <c r="H34" i="18" s="1"/>
  <c r="H12" i="17"/>
  <c r="D42" i="18" l="1"/>
  <c r="D41" i="18"/>
  <c r="D40" i="18"/>
  <c r="J30" i="18"/>
  <c r="H23" i="17"/>
  <c r="H22" i="17"/>
  <c r="H21" i="17"/>
  <c r="H20" i="17"/>
  <c r="L11" i="17"/>
  <c r="N11" i="17" s="1"/>
  <c r="L10" i="17"/>
  <c r="N10" i="17" s="1"/>
  <c r="B2" i="17"/>
  <c r="H24" i="17" l="1"/>
  <c r="N13" i="17"/>
  <c r="H10" i="17"/>
  <c r="H14" i="17" s="1"/>
  <c r="H16" i="17" s="1"/>
  <c r="H28" i="17" s="1"/>
  <c r="H30" i="17" l="1"/>
  <c r="H29" i="17"/>
  <c r="H32" i="17"/>
  <c r="H33" i="17" s="1"/>
  <c r="H34" i="17" s="1"/>
  <c r="Q14" i="17"/>
  <c r="Q16" i="17" s="1"/>
  <c r="D42" i="17" l="1"/>
  <c r="D41" i="17"/>
  <c r="D40" i="17"/>
  <c r="J30" i="17"/>
</calcChain>
</file>

<file path=xl/sharedStrings.xml><?xml version="1.0" encoding="utf-8"?>
<sst xmlns="http://schemas.openxmlformats.org/spreadsheetml/2006/main" count="176" uniqueCount="80">
  <si>
    <r>
      <rPr>
        <b/>
        <sz val="18"/>
        <rFont val="Arial"/>
        <family val="2"/>
      </rPr>
      <t xml:space="preserve">COTIZACION          </t>
    </r>
    <r>
      <rPr>
        <b/>
        <sz val="6"/>
        <rFont val="Arial"/>
        <family val="2"/>
      </rPr>
      <t xml:space="preserve"> FT-CTZ-01   </t>
    </r>
    <r>
      <rPr>
        <b/>
        <sz val="18"/>
        <rFont val="Arial"/>
        <family val="2"/>
      </rPr>
      <t xml:space="preserve">      
             </t>
    </r>
  </si>
  <si>
    <t xml:space="preserve">FECHA: </t>
  </si>
  <si>
    <t>Nº CTZ</t>
  </si>
  <si>
    <t>250- 01-26</t>
  </si>
  <si>
    <t>PRODUCTO COTIZADO:</t>
  </si>
  <si>
    <t>CIMBRA DE ALUMINIO ROBUSTFORM</t>
  </si>
  <si>
    <t>REFERENCIA</t>
  </si>
  <si>
    <r>
      <t xml:space="preserve">FABRICACION DE CIMBRA DE ALUMINIO COMPATIBLE CON WESTWERN FORMS - FORSA </t>
    </r>
    <r>
      <rPr>
        <b/>
        <sz val="12"/>
        <color rgb="FFFF0000"/>
        <rFont val="Arial"/>
        <family val="2"/>
      </rPr>
      <t>(1000 USOS)</t>
    </r>
  </si>
  <si>
    <t>CLIENTE:</t>
  </si>
  <si>
    <t>TERS MOVERE</t>
  </si>
  <si>
    <t>CONTACTO:</t>
  </si>
  <si>
    <t>ARQ. JORGE TERAN</t>
  </si>
  <si>
    <t>jorge.teran@tersmovere.com.mx</t>
  </si>
  <si>
    <t xml:space="preserve">COTIZACION CIMBRA DE ALUMINIO </t>
  </si>
  <si>
    <t>PRECIO</t>
  </si>
  <si>
    <t>CANT.</t>
  </si>
  <si>
    <t>UND MEDIDA</t>
  </si>
  <si>
    <t>CONCEPTO</t>
  </si>
  <si>
    <t>PRECIO/UNIT</t>
  </si>
  <si>
    <t>PROGRAMA</t>
  </si>
  <si>
    <t>%AUMENTADO</t>
  </si>
  <si>
    <t>REPRESENTA</t>
  </si>
  <si>
    <t>TOTAL</t>
  </si>
  <si>
    <t>LOTE</t>
  </si>
  <si>
    <t>REPARACION GENERAL DE FORMALETA DE MOLDE VERA1.1 (MOLDE MECANO) : INCLUYE, SOLDADURA REVENTADA Y EN PERFORACIONES DAÑADAS, ENDEREZADO DE PIEZAS, SUSTITUCION Y ENDEREZADO DE PLATINAS. ( 13 PZA)</t>
  </si>
  <si>
    <t>M2</t>
  </si>
  <si>
    <r>
      <t xml:space="preserve">FABRICACION DE LOTE DE PIEZAS COMPLATIBLES CON SISTEMA </t>
    </r>
    <r>
      <rPr>
        <b/>
        <sz val="12"/>
        <rFont val="Arial"/>
        <family val="2"/>
      </rPr>
      <t>WESTERN FORMS Y FORSA</t>
    </r>
    <r>
      <rPr>
        <sz val="12"/>
        <rFont val="Arial"/>
        <family val="2"/>
      </rPr>
      <t xml:space="preserve"> FORMALETA DE MURO 
60*240 - ( 240 PZA) </t>
    </r>
    <r>
      <rPr>
        <b/>
        <sz val="12"/>
        <rFont val="Arial"/>
        <family val="2"/>
      </rPr>
      <t>(1000 USOS)</t>
    </r>
  </si>
  <si>
    <r>
      <rPr>
        <b/>
        <sz val="11"/>
        <rFont val="Arial"/>
        <family val="2"/>
      </rPr>
      <t xml:space="preserve">INCLUYE ACCESORIOS BASICOS DE SUJECION: </t>
    </r>
    <r>
      <rPr>
        <sz val="11"/>
        <rFont val="Arial"/>
        <family val="2"/>
      </rPr>
      <t>PASADORES, CUÑAS, CORBATAS,  PUNTALES PARA VACIADO DEL MOLDE , TENSORES DE VANO, ESCALERA PARA ARMADO Y HERRAMIENTAS PARA ARMADO DE MOLDE</t>
    </r>
  </si>
  <si>
    <t>TOTAL MT2</t>
  </si>
  <si>
    <t>SUBTOTAL</t>
  </si>
  <si>
    <t>VALOR TOTAL EQUIPO ALUMINIO</t>
  </si>
  <si>
    <t xml:space="preserve">COMPLEMENTARIOS </t>
  </si>
  <si>
    <t>MTL</t>
  </si>
  <si>
    <t>SISTEMA DE ANDAMIOS PARA ARMADO DE PLANTA ALTA  INCLUYE: ( PASARELAS, PLATAFORMAS LAMINA ANTIRRAPANTE, DINTELS, ACCESORIOS DE SUJECION)  PROTOTIPO VERONA</t>
  </si>
  <si>
    <t>SISTEMA DE ANDAMIOS PARA COLADO PERIMETRO  INCLUYE: ( PASARELAS, PLATAFORMAS LAMINA ANTIRRAPANTE, DINTELS, ACCESORIOS DE SUJECION)  PROTOTIPO 9 UNIDADES</t>
  </si>
  <si>
    <t>JUEGO DE ALINEACION PARA MOLDE PLANTA BAJA  PROTOTIPO VERONA</t>
  </si>
  <si>
    <t>JUEGO DE ALINEACION PARA MOLDE PLANTA ALTA PROTOTIPO VERONA</t>
  </si>
  <si>
    <t>SUB TOTAL</t>
  </si>
  <si>
    <t>MEMORIA GRAFICA</t>
  </si>
  <si>
    <t>IMPORTE CON LETRA:</t>
  </si>
  <si>
    <t>descuento especial</t>
  </si>
  <si>
    <t>SUB TOTAL 1</t>
  </si>
  <si>
    <t xml:space="preserve">SON: </t>
  </si>
  <si>
    <t>CIENTO SEIS MIL SEISCIENTOS CINCUENTA Y CINCO CON 04/100 DOLARES AMERICANOS</t>
  </si>
  <si>
    <t>FLETE</t>
  </si>
  <si>
    <t>SUB TOTAL 2</t>
  </si>
  <si>
    <t>IVA</t>
  </si>
  <si>
    <t>TOTAL USD</t>
  </si>
  <si>
    <t>CONDICIONES COMERCIALES</t>
  </si>
  <si>
    <t>VIGENCIA CTZ:</t>
  </si>
  <si>
    <t>30 DIAS</t>
  </si>
  <si>
    <t>FIRMA DE APROBACION DEL CLIENTE:</t>
  </si>
  <si>
    <t>GARANTIA:</t>
  </si>
  <si>
    <t>APLICAN SEGUN CONTRATO</t>
  </si>
  <si>
    <t>FORMA DE PAGO</t>
  </si>
  <si>
    <t>60% ANTICIPO</t>
  </si>
  <si>
    <t>40% CONTRA ENTREGA EN FABRICA</t>
  </si>
  <si>
    <t>AL CONTADO</t>
  </si>
  <si>
    <t>TIEMPO DE ENTREGA</t>
  </si>
  <si>
    <t>90 A 120 DIAS DE FABRICACION</t>
  </si>
  <si>
    <t xml:space="preserve">UNA VEZ RECIBIDO EL ANTICIPO </t>
  </si>
  <si>
    <t>NOMBRE:</t>
  </si>
  <si>
    <t>INCOTERMS</t>
  </si>
  <si>
    <t>DDP PUESTO EN OBRA</t>
  </si>
  <si>
    <t>CONDICIONES                                                                                                                GENERALES</t>
  </si>
  <si>
    <r>
      <t xml:space="preserve">Esta cotizacion incluye  FABRICACION  de formaleta compatible con sistema WESTERN FORMS Y FORSA, para complementar inventrio </t>
    </r>
    <r>
      <rPr>
        <b/>
        <sz val="12"/>
        <color rgb="FFFF0000"/>
        <rFont val="Arial"/>
        <family val="2"/>
      </rPr>
      <t>NO INCLUYE ACCESORIOS DE SUJECCION</t>
    </r>
    <r>
      <rPr>
        <sz val="12"/>
        <color theme="1"/>
        <rFont val="Arial"/>
        <family val="2"/>
      </rPr>
      <t xml:space="preserve">
EL VALOR DEL FLETE ESTA CALCULADO PARA UNA PLATAFORMA DE  40 pies</t>
    </r>
  </si>
  <si>
    <t>El aluminio utilizado será de aleación 6061 para todo el panel. El templado del aluminio será T6</t>
  </si>
  <si>
    <t>Esta cotizacion incluye sistema de anadamiaje de seguridad en altura en forma  UN PERIMETRO</t>
  </si>
  <si>
    <r>
      <t xml:space="preserve">Esta cotizacion </t>
    </r>
    <r>
      <rPr>
        <sz val="12"/>
        <color rgb="FFFF0000"/>
        <rFont val="Arial"/>
        <family val="2"/>
      </rPr>
      <t>NO</t>
    </r>
    <r>
      <rPr>
        <sz val="12"/>
        <color theme="1"/>
        <rFont val="Arial"/>
        <family val="2"/>
      </rPr>
      <t xml:space="preserve"> incluye puntales para el vaciado del molde </t>
    </r>
    <r>
      <rPr>
        <sz val="12"/>
        <color indexed="10"/>
        <rFont val="Arial"/>
        <family val="2"/>
      </rPr>
      <t>No incluye puntales  de reapuntalamiento de losas</t>
    </r>
  </si>
  <si>
    <t>CMR ofrecemos la opcion de re-diseño de sus moldes de aluminio para su proximo encofrado.</t>
  </si>
  <si>
    <t>Esta cotizacion incluye Un Supervisor experimentado en el Sistema CMR, el cual colaborará en la instalación de los moldes en el sitio y capacitará a su personal por un período de 3 semanas con gastos pagos para la vaidacion  de los moldes de planta baja, planta alta  y escalera.    El coste de cada semana extra de técnico es de 800 USD.  El cliente deberá proveer alojamiento y transporte adecuado para nuestro técnico.</t>
  </si>
  <si>
    <t>La cantidad de molde aquí detallada es estimada y solo se puede confirmar una vez finalizado el diseño de encofrado, con los planos definitivos aprobados por el cliente.    El Cliente será responsable por cualquier retraso en el suministro del molde CMR en caso de solicitar cambios en el diseño una vez recibido el plano firmado en aceptación.      Si una vez fabricado el molde, el cliente solicita cambios en el diseño, se aplicará un costo de “cimbra redundante” sobre el precio total del molde.  Se suministrará al Cliente una prueba de producción de los paneles redundantes para su verificación.</t>
  </si>
  <si>
    <t>Los precios detallados a continuación son considerando el Incoterm DDP puesto en obra</t>
  </si>
  <si>
    <t>CARLOS ALBERTO MORA RESTREPO</t>
  </si>
  <si>
    <t>CMR COMERCIALIZADORA SA DE CV</t>
  </si>
  <si>
    <t>250- 02-26</t>
  </si>
  <si>
    <t>FABRICACION DE CIMBRA DE ALUMINIO COMPATIBLE CON WESTWERN FORMS - FORSA (LISTADO DE PIEZAS)</t>
  </si>
  <si>
    <r>
      <t xml:space="preserve">FABRICACION DE LOTE DE PIEZAS COMPLATIBLES CON SISTEMA </t>
    </r>
    <r>
      <rPr>
        <b/>
        <sz val="12"/>
        <rFont val="Arial"/>
        <family val="2"/>
      </rPr>
      <t>WESTERN FORMS Y FORSA</t>
    </r>
    <r>
      <rPr>
        <sz val="12"/>
        <rFont val="Arial"/>
        <family val="2"/>
      </rPr>
      <t xml:space="preserve"> LISTADO DE PIEZAS SUMINISTRADO (748 PZA)</t>
    </r>
  </si>
  <si>
    <t>CIENTO OCHENTA MIL CUARENTA Y UNO CON 28/100 DOLARES AMERICANOS</t>
  </si>
  <si>
    <r>
      <t xml:space="preserve">Esta cotizacion incluye  FABRICACION  de formaleta compatible con sistema WESTERN FORMS Y FORSA, para complementar inventrio </t>
    </r>
    <r>
      <rPr>
        <b/>
        <sz val="12"/>
        <color rgb="FFFF0000"/>
        <rFont val="Arial"/>
        <family val="2"/>
      </rPr>
      <t>NO INCLUYE ACCESORIOS DE SUJECCION</t>
    </r>
    <r>
      <rPr>
        <sz val="12"/>
        <color theme="1"/>
        <rFont val="Arial"/>
        <family val="2"/>
      </rPr>
      <t xml:space="preserve">
EL VALOR DEL FLETE ESTA CALCULADO PARA UNA PLATAFORMA DE 40 pies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</si>
</sst>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_);_(* \(#,##0.00\);_(* &quot;-&quot;??_);_(@_)"/>
    <numFmt numFmtId="165" formatCode="_(&quot;B/.&quot;\ * #,##0.00_);_(&quot;B/.&quot;\ * \(#,##0.00\);_(&quot;B/.&quot;\ * &quot;-&quot;??_);_(@_)"/>
    <numFmt numFmtId="166" formatCode="_-[$$-409]* #,##0.00_ ;_-[$$-409]* \-#,##0.00\ ;_-[$$-409]* &quot;-&quot;??_ ;_-@_ "/>
    <numFmt numFmtId="167" formatCode="[$USD]\ #,##0.00"/>
    <numFmt numFmtId="168" formatCode="[$USD]\ #,##0.00;\-[$USD]\ #,##0.00"/>
    <numFmt numFmtId="169" formatCode="_-[$$-80A]* #,##0.00_-;\-[$$-80A]* #,##0.00_-;_-[$$-80A]* &quot;-&quot;??_-;_-@_-"/>
    <numFmt numFmtId="170" formatCode="&quot;$&quot;#,##0.00"/>
  </numFmts>
  <fonts count="21">
    <font>
      <sz val="10"/>
      <name val="Arial"/>
      <charset val="134"/>
    </font>
    <font>
      <b/>
      <sz val="10"/>
      <name val="Arial"/>
      <family val="2"/>
    </font>
    <font>
      <b/>
      <sz val="14"/>
      <name val="Arial"/>
      <family val="2"/>
    </font>
    <font>
      <b/>
      <sz val="12"/>
      <name val="Arial"/>
      <family val="2"/>
    </font>
    <font>
      <sz val="12"/>
      <name val="Arial"/>
      <family val="2"/>
    </font>
    <font>
      <b/>
      <sz val="12"/>
      <color theme="1"/>
      <name val="Arial"/>
      <family val="2"/>
    </font>
    <font>
      <sz val="11"/>
      <name val="Arial"/>
      <family val="2"/>
    </font>
    <font>
      <b/>
      <sz val="18"/>
      <name val="Arial"/>
      <family val="2"/>
    </font>
    <font>
      <b/>
      <sz val="23"/>
      <name val="Arial"/>
      <family val="2"/>
    </font>
    <font>
      <b/>
      <sz val="14"/>
      <color rgb="FFFF0000"/>
      <name val="Arial"/>
      <family val="2"/>
    </font>
    <font>
      <b/>
      <sz val="12"/>
      <color rgb="FFFF0000"/>
      <name val="Arial"/>
      <family val="2"/>
    </font>
    <font>
      <b/>
      <sz val="11"/>
      <name val="Arial"/>
      <family val="2"/>
    </font>
    <font>
      <sz val="12"/>
      <color rgb="FFFF0000"/>
      <name val="Arial"/>
      <family val="2"/>
    </font>
    <font>
      <b/>
      <sz val="11"/>
      <color rgb="FFFF0000"/>
      <name val="Arial"/>
      <family val="2"/>
    </font>
    <font>
      <b/>
      <sz val="14"/>
      <color rgb="FFDD0806"/>
      <name val="Arial"/>
      <family val="2"/>
    </font>
    <font>
      <sz val="12"/>
      <color theme="1"/>
      <name val="Arial"/>
      <family val="2"/>
    </font>
    <font>
      <sz val="10"/>
      <name val="Verdana"/>
      <family val="2"/>
    </font>
    <font>
      <b/>
      <sz val="6"/>
      <name val="Arial"/>
      <family val="2"/>
    </font>
    <font>
      <sz val="10"/>
      <name val="Arial"/>
      <family val="2"/>
    </font>
    <font>
      <u/>
      <sz val="10"/>
      <color theme="10"/>
      <name val="Arial"/>
      <family val="2"/>
    </font>
    <font>
      <sz val="12"/>
      <color indexed="10"/>
      <name val="Arial"/>
      <family val="2"/>
    </font>
  </fonts>
  <fills count="9">
    <fill>
      <patternFill patternType="none"/>
    </fill>
    <fill>
      <patternFill patternType="gray125"/>
    </fill>
    <fill>
      <patternFill patternType="solid">
        <fgColor theme="0" tint="-4.9989318521683403E-2"/>
        <bgColor indexed="64"/>
      </patternFill>
    </fill>
    <fill>
      <patternFill patternType="solid">
        <fgColor theme="6" tint="0.79995117038483843"/>
        <bgColor indexed="64"/>
      </patternFill>
    </fill>
    <fill>
      <patternFill patternType="solid">
        <fgColor indexed="9"/>
        <bgColor indexed="64"/>
      </patternFill>
    </fill>
    <fill>
      <patternFill patternType="solid">
        <fgColor theme="6" tint="0.79995117038483843"/>
        <bgColor rgb="FF000000"/>
      </patternFill>
    </fill>
    <fill>
      <patternFill patternType="solid">
        <fgColor theme="0"/>
        <bgColor indexed="64"/>
      </patternFill>
    </fill>
    <fill>
      <patternFill patternType="solid">
        <fgColor rgb="FFFFFFFF"/>
        <bgColor rgb="FF000000"/>
      </patternFill>
    </fill>
    <fill>
      <patternFill patternType="solid">
        <fgColor theme="0" tint="-0.1499679555650502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s>
  <cellStyleXfs count="6">
    <xf numFmtId="0" fontId="0" fillId="0" borderId="0"/>
    <xf numFmtId="164" fontId="18" fillId="0" borderId="0" applyFont="0" applyFill="0" applyBorder="0" applyAlignment="0" applyProtection="0"/>
    <xf numFmtId="43" fontId="16" fillId="0" borderId="0" applyFont="0" applyFill="0" applyBorder="0" applyAlignment="0" applyProtection="0"/>
    <xf numFmtId="165" fontId="18" fillId="0" borderId="0" applyFont="0" applyFill="0" applyBorder="0" applyAlignment="0" applyProtection="0"/>
    <xf numFmtId="0" fontId="18" fillId="0" borderId="0"/>
    <xf numFmtId="0" fontId="19" fillId="0" borderId="0" applyNumberFormat="0" applyFill="0" applyBorder="0" applyAlignment="0" applyProtection="0"/>
  </cellStyleXfs>
  <cellXfs count="132">
    <xf numFmtId="0" fontId="0" fillId="0" borderId="0" xfId="0"/>
    <xf numFmtId="166" fontId="3" fillId="2" borderId="1" xfId="3" applyNumberFormat="1" applyFont="1" applyFill="1" applyBorder="1" applyAlignment="1">
      <alignment horizontal="right" vertical="center"/>
    </xf>
    <xf numFmtId="167" fontId="4" fillId="2" borderId="1" xfId="3" applyNumberFormat="1" applyFont="1" applyFill="1" applyBorder="1" applyAlignment="1">
      <alignment horizontal="right" vertical="center"/>
    </xf>
    <xf numFmtId="166" fontId="3" fillId="3" borderId="1" xfId="3" applyNumberFormat="1" applyFont="1" applyFill="1" applyBorder="1" applyAlignment="1">
      <alignment horizontal="right" vertical="center"/>
    </xf>
    <xf numFmtId="167" fontId="4" fillId="3" borderId="1" xfId="3" applyNumberFormat="1" applyFont="1" applyFill="1" applyBorder="1" applyAlignment="1">
      <alignment horizontal="right" vertical="center"/>
    </xf>
    <xf numFmtId="166" fontId="5" fillId="2" borderId="1" xfId="3" applyNumberFormat="1" applyFont="1" applyFill="1" applyBorder="1" applyAlignment="1">
      <alignment horizontal="right" vertical="center"/>
    </xf>
    <xf numFmtId="167" fontId="5" fillId="2" borderId="1" xfId="3" applyNumberFormat="1" applyFont="1" applyFill="1" applyBorder="1" applyAlignment="1">
      <alignment horizontal="right" vertical="center"/>
    </xf>
    <xf numFmtId="0" fontId="0" fillId="0" borderId="0" xfId="0" applyAlignment="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1" fillId="0" borderId="0" xfId="0" applyFont="1" applyAlignment="1">
      <alignment vertical="center"/>
    </xf>
    <xf numFmtId="0" fontId="0" fillId="0" borderId="0" xfId="4" applyFont="1" applyAlignment="1">
      <alignment vertical="center"/>
    </xf>
    <xf numFmtId="166" fontId="0" fillId="0" borderId="0" xfId="3" applyNumberFormat="1" applyFont="1" applyAlignment="1">
      <alignment vertical="center"/>
    </xf>
    <xf numFmtId="14" fontId="2" fillId="2" borderId="1" xfId="4" applyNumberFormat="1" applyFont="1" applyFill="1" applyBorder="1" applyAlignment="1">
      <alignment horizontal="center" vertical="center"/>
    </xf>
    <xf numFmtId="166" fontId="9" fillId="2" borderId="1" xfId="3" applyNumberFormat="1" applyFont="1" applyFill="1" applyBorder="1" applyAlignment="1">
      <alignment horizontal="center"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2" fontId="3" fillId="3" borderId="1" xfId="4" applyNumberFormat="1" applyFont="1" applyFill="1" applyBorder="1" applyAlignment="1">
      <alignment horizontal="center" vertical="center"/>
    </xf>
    <xf numFmtId="2" fontId="10" fillId="3" borderId="1" xfId="0" applyNumberFormat="1" applyFont="1" applyFill="1" applyBorder="1" applyAlignment="1">
      <alignment horizontal="center" vertical="center"/>
    </xf>
    <xf numFmtId="0" fontId="6" fillId="0" borderId="1" xfId="0" applyFont="1" applyBorder="1" applyAlignment="1">
      <alignment horizontal="center" vertical="center" wrapText="1"/>
    </xf>
    <xf numFmtId="168" fontId="6" fillId="0" borderId="1" xfId="3" applyNumberFormat="1" applyFont="1" applyBorder="1" applyAlignment="1">
      <alignment horizontal="center" vertical="center"/>
    </xf>
    <xf numFmtId="0" fontId="10" fillId="3" borderId="1" xfId="4" applyFont="1" applyFill="1" applyBorder="1" applyAlignment="1">
      <alignment horizontal="center" vertical="center"/>
    </xf>
    <xf numFmtId="164" fontId="10" fillId="3" borderId="1" xfId="1" applyFont="1" applyFill="1" applyBorder="1" applyAlignment="1">
      <alignment horizontal="right" vertical="center"/>
    </xf>
    <xf numFmtId="166" fontId="4" fillId="2" borderId="1" xfId="3" applyNumberFormat="1" applyFont="1" applyFill="1" applyBorder="1" applyAlignment="1">
      <alignment horizontal="right" vertical="center"/>
    </xf>
    <xf numFmtId="0" fontId="13" fillId="2" borderId="1" xfId="4" applyFont="1" applyFill="1" applyBorder="1" applyAlignment="1">
      <alignment horizontal="left" vertical="center" wrapText="1"/>
    </xf>
    <xf numFmtId="14" fontId="14" fillId="2" borderId="1" xfId="3" applyNumberFormat="1" applyFont="1" applyFill="1" applyBorder="1" applyAlignment="1">
      <alignment horizontal="center" vertical="center"/>
    </xf>
    <xf numFmtId="168" fontId="6" fillId="0" borderId="1" xfId="0" applyNumberFormat="1" applyFont="1" applyBorder="1" applyAlignment="1">
      <alignment horizontal="right" vertical="center"/>
    </xf>
    <xf numFmtId="167" fontId="10" fillId="3" borderId="1" xfId="3" applyNumberFormat="1" applyFont="1" applyFill="1" applyBorder="1" applyAlignment="1">
      <alignment horizontal="right" vertical="center"/>
    </xf>
    <xf numFmtId="167" fontId="0" fillId="0" borderId="0" xfId="4" applyNumberFormat="1" applyFont="1" applyAlignment="1">
      <alignment vertical="center"/>
    </xf>
    <xf numFmtId="0" fontId="3" fillId="0" borderId="1" xfId="4" applyFont="1" applyBorder="1" applyAlignment="1">
      <alignment vertical="center"/>
    </xf>
    <xf numFmtId="9" fontId="6" fillId="0" borderId="0" xfId="0" applyNumberFormat="1" applyFont="1" applyAlignment="1">
      <alignment horizontal="left" vertical="center"/>
    </xf>
    <xf numFmtId="167" fontId="3" fillId="3" borderId="1" xfId="3" applyNumberFormat="1" applyFont="1" applyFill="1" applyBorder="1" applyAlignment="1">
      <alignment horizontal="right" vertical="center"/>
    </xf>
    <xf numFmtId="167" fontId="10" fillId="3" borderId="1" xfId="0" applyNumberFormat="1" applyFont="1" applyFill="1" applyBorder="1" applyAlignment="1">
      <alignment horizontal="right" vertical="center"/>
    </xf>
    <xf numFmtId="170" fontId="4" fillId="2" borderId="1" xfId="3" applyNumberFormat="1" applyFont="1" applyFill="1" applyBorder="1" applyAlignment="1">
      <alignment horizontal="right" vertical="center"/>
    </xf>
    <xf numFmtId="167" fontId="3" fillId="2" borderId="1" xfId="3" applyNumberFormat="1" applyFont="1" applyFill="1" applyBorder="1" applyAlignment="1">
      <alignment horizontal="right" vertical="center"/>
    </xf>
    <xf numFmtId="169" fontId="0" fillId="0" borderId="0" xfId="4" applyNumberFormat="1" applyFont="1" applyAlignment="1">
      <alignment vertical="center"/>
    </xf>
    <xf numFmtId="0" fontId="3" fillId="3" borderId="1" xfId="4" applyFont="1" applyFill="1" applyBorder="1" applyAlignment="1">
      <alignment horizontal="center" vertical="center"/>
    </xf>
    <xf numFmtId="0" fontId="2" fillId="2" borderId="1" xfId="4" applyFont="1" applyFill="1" applyBorder="1" applyAlignment="1">
      <alignment horizontal="center" vertical="center"/>
    </xf>
    <xf numFmtId="0" fontId="11" fillId="5" borderId="1" xfId="0" applyFont="1" applyFill="1" applyBorder="1" applyAlignment="1">
      <alignment horizontal="center" vertical="center"/>
    </xf>
    <xf numFmtId="0" fontId="10" fillId="3" borderId="1" xfId="0" applyFont="1" applyFill="1" applyBorder="1" applyAlignment="1">
      <alignment horizontal="center" vertical="center"/>
    </xf>
    <xf numFmtId="0" fontId="19" fillId="0" borderId="0" xfId="5"/>
    <xf numFmtId="0" fontId="13" fillId="0" borderId="1" xfId="4" applyFont="1" applyBorder="1" applyAlignment="1">
      <alignment horizontal="left" vertical="center" wrapText="1"/>
    </xf>
    <xf numFmtId="0" fontId="4" fillId="0" borderId="8" xfId="0" applyFont="1" applyBorder="1" applyAlignment="1">
      <alignment horizontal="center" vertical="center"/>
    </xf>
    <xf numFmtId="167" fontId="4" fillId="0" borderId="1" xfId="3" applyNumberFormat="1" applyFont="1" applyFill="1" applyBorder="1" applyAlignment="1">
      <alignment horizontal="right" vertical="center"/>
    </xf>
    <xf numFmtId="166" fontId="3" fillId="3" borderId="1" xfId="3" applyNumberFormat="1" applyFont="1" applyFill="1" applyBorder="1" applyAlignment="1">
      <alignment vertical="center"/>
    </xf>
    <xf numFmtId="0" fontId="18" fillId="0" borderId="0" xfId="0" applyFont="1" applyAlignment="1">
      <alignment vertical="center"/>
    </xf>
    <xf numFmtId="2" fontId="4" fillId="6" borderId="8" xfId="0" applyNumberFormat="1" applyFont="1" applyFill="1" applyBorder="1" applyAlignment="1">
      <alignment horizontal="center" vertical="center"/>
    </xf>
    <xf numFmtId="167" fontId="1" fillId="0" borderId="0" xfId="0" applyNumberFormat="1" applyFont="1" applyAlignment="1">
      <alignment vertical="center"/>
    </xf>
    <xf numFmtId="167" fontId="0" fillId="0" borderId="0" xfId="0" applyNumberFormat="1" applyAlignment="1">
      <alignment vertical="center"/>
    </xf>
    <xf numFmtId="0" fontId="3" fillId="0" borderId="1" xfId="4" applyFont="1" applyBorder="1" applyAlignment="1">
      <alignment horizontal="center" vertical="center" wrapText="1"/>
    </xf>
    <xf numFmtId="0" fontId="2" fillId="0" borderId="2" xfId="4" applyFont="1" applyBorder="1" applyAlignment="1">
      <alignment horizontal="center" vertical="center"/>
    </xf>
    <xf numFmtId="0" fontId="2" fillId="0" borderId="7" xfId="4" applyFont="1" applyBorder="1" applyAlignment="1">
      <alignment horizontal="center" vertical="center"/>
    </xf>
    <xf numFmtId="0" fontId="2" fillId="0" borderId="3" xfId="4" applyFont="1" applyBorder="1" applyAlignment="1">
      <alignment horizontal="center" vertical="center"/>
    </xf>
    <xf numFmtId="0" fontId="1" fillId="0" borderId="2" xfId="4" applyFont="1" applyBorder="1" applyAlignment="1">
      <alignment horizontal="center" vertical="center"/>
    </xf>
    <xf numFmtId="0" fontId="1" fillId="0" borderId="7" xfId="4" applyFont="1" applyBorder="1" applyAlignment="1">
      <alignment horizontal="center" vertical="center"/>
    </xf>
    <xf numFmtId="0" fontId="1" fillId="0" borderId="3" xfId="4" applyFont="1" applyBorder="1" applyAlignment="1">
      <alignment horizontal="center" vertical="center"/>
    </xf>
    <xf numFmtId="0" fontId="0" fillId="0" borderId="1" xfId="4" applyFont="1" applyBorder="1" applyAlignment="1">
      <alignment horizontal="center" vertical="center"/>
    </xf>
    <xf numFmtId="0" fontId="0" fillId="0" borderId="8" xfId="4" applyFont="1" applyBorder="1" applyAlignment="1">
      <alignment horizontal="center" vertical="center"/>
    </xf>
    <xf numFmtId="0" fontId="3" fillId="3" borderId="1" xfId="4" applyFont="1" applyFill="1" applyBorder="1" applyAlignment="1">
      <alignment horizontal="center" vertical="center" wrapText="1"/>
    </xf>
    <xf numFmtId="0" fontId="15" fillId="0" borderId="1" xfId="4" applyFont="1" applyBorder="1" applyAlignment="1">
      <alignment horizontal="justify" vertical="center" wrapText="1"/>
    </xf>
    <xf numFmtId="0" fontId="15" fillId="0" borderId="2" xfId="4" applyFont="1" applyBorder="1" applyAlignment="1">
      <alignment horizontal="justify" vertical="center" wrapText="1"/>
    </xf>
    <xf numFmtId="0" fontId="15" fillId="0" borderId="7" xfId="4" applyFont="1" applyBorder="1" applyAlignment="1">
      <alignment horizontal="justify" vertical="center" wrapText="1"/>
    </xf>
    <xf numFmtId="0" fontId="15" fillId="0" borderId="3" xfId="4" applyFont="1" applyBorder="1" applyAlignment="1">
      <alignment horizontal="justify" vertical="center" wrapText="1"/>
    </xf>
    <xf numFmtId="0" fontId="15" fillId="0" borderId="1" xfId="4" applyFont="1" applyBorder="1" applyAlignment="1">
      <alignment horizontal="left" vertical="center" wrapText="1"/>
    </xf>
    <xf numFmtId="0" fontId="3" fillId="3" borderId="1" xfId="4" applyFont="1" applyFill="1" applyBorder="1" applyAlignment="1">
      <alignment horizontal="left" vertical="center"/>
    </xf>
    <xf numFmtId="0" fontId="6" fillId="0" borderId="1" xfId="4" applyFont="1" applyBorder="1" applyAlignment="1">
      <alignment horizontal="left" vertical="center" wrapText="1"/>
    </xf>
    <xf numFmtId="0" fontId="3" fillId="3" borderId="1" xfId="4" applyFont="1" applyFill="1" applyBorder="1" applyAlignment="1">
      <alignment horizontal="center" vertical="center"/>
    </xf>
    <xf numFmtId="0" fontId="3" fillId="2" borderId="1" xfId="4" applyFont="1" applyFill="1" applyBorder="1" applyAlignment="1">
      <alignment vertical="center"/>
    </xf>
    <xf numFmtId="0" fontId="3" fillId="0" borderId="1" xfId="4" applyFont="1" applyBorder="1" applyAlignment="1">
      <alignment horizontal="left" vertical="center" wrapText="1"/>
    </xf>
    <xf numFmtId="166" fontId="0" fillId="0" borderId="1" xfId="3" applyNumberFormat="1" applyFont="1" applyBorder="1" applyAlignment="1">
      <alignment horizontal="center" vertical="center"/>
    </xf>
    <xf numFmtId="166" fontId="0" fillId="3" borderId="1" xfId="3" applyNumberFormat="1" applyFont="1" applyFill="1" applyBorder="1" applyAlignment="1" applyProtection="1">
      <alignment horizontal="center" vertical="center"/>
    </xf>
    <xf numFmtId="0" fontId="3" fillId="3" borderId="1" xfId="4" applyFont="1" applyFill="1" applyBorder="1" applyAlignment="1">
      <alignment vertical="center"/>
    </xf>
    <xf numFmtId="166" fontId="0" fillId="0" borderId="1" xfId="3" applyNumberFormat="1" applyFont="1" applyFill="1" applyBorder="1" applyAlignment="1" applyProtection="1">
      <alignment horizontal="center" vertical="center"/>
    </xf>
    <xf numFmtId="0" fontId="3" fillId="2" borderId="1" xfId="4" applyFont="1" applyFill="1" applyBorder="1" applyAlignment="1">
      <alignment horizontal="left" vertical="center"/>
    </xf>
    <xf numFmtId="169" fontId="5" fillId="2" borderId="1" xfId="3" applyNumberFormat="1" applyFont="1" applyFill="1" applyBorder="1" applyAlignment="1">
      <alignment horizontal="left" vertical="center" wrapText="1"/>
    </xf>
    <xf numFmtId="169" fontId="5" fillId="2" borderId="1" xfId="3" applyNumberFormat="1" applyFont="1" applyFill="1" applyBorder="1" applyAlignment="1">
      <alignment horizontal="center" vertical="center" wrapText="1"/>
    </xf>
    <xf numFmtId="0" fontId="2" fillId="0" borderId="1" xfId="4" applyFont="1" applyBorder="1" applyAlignment="1">
      <alignment horizontal="center" vertical="center"/>
    </xf>
    <xf numFmtId="0" fontId="6" fillId="6" borderId="2" xfId="0" applyFont="1" applyFill="1" applyBorder="1" applyAlignment="1">
      <alignment horizontal="left" vertical="center" wrapText="1"/>
    </xf>
    <xf numFmtId="0" fontId="6" fillId="6" borderId="7" xfId="0" applyFont="1" applyFill="1" applyBorder="1" applyAlignment="1">
      <alignment horizontal="left" vertical="center" wrapText="1"/>
    </xf>
    <xf numFmtId="0" fontId="6" fillId="6" borderId="3" xfId="0" applyFont="1" applyFill="1" applyBorder="1" applyAlignment="1">
      <alignment horizontal="left" vertical="center" wrapText="1"/>
    </xf>
    <xf numFmtId="0" fontId="6" fillId="6" borderId="2"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12" fillId="3" borderId="1" xfId="0" applyFont="1" applyFill="1" applyBorder="1" applyAlignment="1">
      <alignment horizontal="center" vertical="center"/>
    </xf>
    <xf numFmtId="0" fontId="0" fillId="0" borderId="1" xfId="0" applyBorder="1" applyAlignment="1">
      <alignment horizontal="center" vertical="center"/>
    </xf>
    <xf numFmtId="0" fontId="3" fillId="8" borderId="1" xfId="0" applyFont="1" applyFill="1" applyBorder="1" applyAlignment="1">
      <alignment horizontal="center" vertical="center"/>
    </xf>
    <xf numFmtId="0" fontId="4" fillId="0" borderId="1" xfId="0" applyFont="1" applyBorder="1" applyAlignment="1">
      <alignment horizontal="center" vertical="center"/>
    </xf>
    <xf numFmtId="0" fontId="2" fillId="2" borderId="4" xfId="4" applyFont="1" applyFill="1" applyBorder="1" applyAlignment="1">
      <alignment horizontal="center" vertical="center"/>
    </xf>
    <xf numFmtId="0" fontId="2" fillId="2" borderId="9" xfId="4" applyFont="1" applyFill="1" applyBorder="1" applyAlignment="1">
      <alignment horizontal="center" vertical="center"/>
    </xf>
    <xf numFmtId="0" fontId="2" fillId="2" borderId="10" xfId="4" applyFont="1" applyFill="1" applyBorder="1" applyAlignment="1">
      <alignment horizontal="center" vertical="center"/>
    </xf>
    <xf numFmtId="0" fontId="2" fillId="2" borderId="5" xfId="4" applyFont="1" applyFill="1" applyBorder="1" applyAlignment="1">
      <alignment horizontal="center" vertical="center"/>
    </xf>
    <xf numFmtId="0" fontId="2" fillId="2" borderId="0" xfId="4" applyFont="1" applyFill="1" applyAlignment="1">
      <alignment horizontal="center" vertical="center"/>
    </xf>
    <xf numFmtId="0" fontId="2" fillId="2" borderId="11" xfId="4" applyFont="1" applyFill="1" applyBorder="1" applyAlignment="1">
      <alignment horizontal="center" vertical="center"/>
    </xf>
    <xf numFmtId="0" fontId="2" fillId="2" borderId="6" xfId="4" applyFont="1" applyFill="1" applyBorder="1" applyAlignment="1">
      <alignment horizontal="center" vertical="center"/>
    </xf>
    <xf numFmtId="0" fontId="2" fillId="2" borderId="12" xfId="4" applyFont="1" applyFill="1" applyBorder="1" applyAlignment="1">
      <alignment horizontal="center" vertical="center"/>
    </xf>
    <xf numFmtId="0" fontId="2" fillId="2" borderId="13" xfId="4" applyFont="1" applyFill="1" applyBorder="1" applyAlignment="1">
      <alignment horizontal="center" vertical="center"/>
    </xf>
    <xf numFmtId="0" fontId="2" fillId="2" borderId="1" xfId="4" applyFont="1" applyFill="1" applyBorder="1" applyAlignment="1">
      <alignment horizontal="center" vertical="center"/>
    </xf>
    <xf numFmtId="0" fontId="2" fillId="0" borderId="1" xfId="4" applyFont="1" applyBorder="1" applyAlignment="1">
      <alignment horizontal="center" vertical="center" wrapText="1"/>
    </xf>
    <xf numFmtId="0" fontId="6" fillId="6" borderId="1" xfId="0" applyFont="1" applyFill="1" applyBorder="1" applyAlignment="1">
      <alignment horizontal="left" vertical="center" wrapText="1"/>
    </xf>
    <xf numFmtId="0" fontId="4" fillId="6" borderId="2"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4" fillId="6" borderId="3" xfId="0" applyFont="1" applyFill="1" applyBorder="1" applyAlignment="1">
      <alignment horizontal="center" vertical="center" wrapText="1"/>
    </xf>
    <xf numFmtId="167" fontId="4" fillId="7" borderId="14" xfId="0" applyNumberFormat="1" applyFont="1" applyFill="1" applyBorder="1" applyAlignment="1">
      <alignment horizontal="center" vertical="center"/>
    </xf>
    <xf numFmtId="167" fontId="4" fillId="7" borderId="8" xfId="0" applyNumberFormat="1" applyFont="1" applyFill="1" applyBorder="1" applyAlignment="1">
      <alignment horizontal="center" vertical="center"/>
    </xf>
    <xf numFmtId="167" fontId="4" fillId="0" borderId="14" xfId="3" applyNumberFormat="1" applyFont="1" applyFill="1" applyBorder="1" applyAlignment="1">
      <alignment horizontal="center" vertical="center"/>
    </xf>
    <xf numFmtId="167" fontId="4" fillId="0" borderId="8" xfId="3" applyNumberFormat="1" applyFont="1" applyFill="1" applyBorder="1" applyAlignment="1">
      <alignment horizontal="center" vertical="center"/>
    </xf>
    <xf numFmtId="0" fontId="11" fillId="0" borderId="1" xfId="0" applyFont="1" applyBorder="1" applyAlignment="1">
      <alignment horizontal="left" vertical="center" wrapText="1"/>
    </xf>
    <xf numFmtId="0" fontId="6" fillId="0" borderId="1" xfId="0" applyFont="1" applyBorder="1" applyAlignment="1">
      <alignment horizontal="left" vertical="center" wrapText="1"/>
    </xf>
    <xf numFmtId="164" fontId="3" fillId="3" borderId="1" xfId="1" applyFont="1" applyFill="1" applyBorder="1" applyAlignment="1">
      <alignment horizontal="center" vertical="center"/>
    </xf>
    <xf numFmtId="0" fontId="3" fillId="0" borderId="1" xfId="4" applyFont="1" applyBorder="1" applyAlignment="1">
      <alignment horizontal="center" vertical="center"/>
    </xf>
    <xf numFmtId="0" fontId="10"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11" fillId="5" borderId="1" xfId="0" applyFont="1" applyFill="1" applyBorder="1" applyAlignment="1">
      <alignment horizontal="center" vertical="center"/>
    </xf>
    <xf numFmtId="0" fontId="2" fillId="2" borderId="1" xfId="0" applyFont="1" applyFill="1" applyBorder="1" applyAlignment="1">
      <alignment horizontal="center" vertical="center" wrapText="1"/>
    </xf>
    <xf numFmtId="2" fontId="4" fillId="6" borderId="14" xfId="0" applyNumberFormat="1" applyFont="1" applyFill="1" applyBorder="1" applyAlignment="1">
      <alignment horizontal="center" vertical="center"/>
    </xf>
    <xf numFmtId="2" fontId="4" fillId="6" borderId="8" xfId="0" applyNumberFormat="1" applyFont="1" applyFill="1" applyBorder="1" applyAlignment="1">
      <alignment horizontal="center" vertical="center"/>
    </xf>
    <xf numFmtId="0" fontId="4" fillId="0" borderId="14" xfId="0" applyFont="1" applyBorder="1" applyAlignment="1">
      <alignment horizontal="center" vertical="center"/>
    </xf>
    <xf numFmtId="0" fontId="4" fillId="0" borderId="8" xfId="0" applyFont="1" applyBorder="1" applyAlignment="1">
      <alignment horizontal="center" vertical="center"/>
    </xf>
    <xf numFmtId="0" fontId="4" fillId="6" borderId="4"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3" fillId="0" borderId="2" xfId="4" applyFont="1" applyBorder="1" applyAlignment="1">
      <alignment horizontal="left" vertical="center" wrapText="1"/>
    </xf>
    <xf numFmtId="0" fontId="3" fillId="0" borderId="7" xfId="4" applyFont="1" applyBorder="1" applyAlignment="1">
      <alignment horizontal="left" vertical="center" wrapText="1"/>
    </xf>
    <xf numFmtId="0" fontId="3" fillId="0" borderId="3" xfId="4" applyFont="1" applyBorder="1" applyAlignment="1">
      <alignment horizontal="left" vertical="center" wrapText="1"/>
    </xf>
    <xf numFmtId="0" fontId="3" fillId="0" borderId="1" xfId="4" applyFont="1" applyBorder="1" applyAlignment="1">
      <alignment horizontal="left" vertical="center"/>
    </xf>
    <xf numFmtId="166" fontId="3" fillId="0" borderId="1" xfId="3" applyNumberFormat="1" applyFont="1" applyFill="1" applyBorder="1" applyAlignment="1">
      <alignment horizontal="left" vertical="center"/>
    </xf>
    <xf numFmtId="0" fontId="7" fillId="0" borderId="1" xfId="4" applyFont="1" applyBorder="1" applyAlignment="1">
      <alignment horizontal="center" vertical="center" wrapText="1"/>
    </xf>
    <xf numFmtId="0" fontId="7" fillId="0" borderId="1" xfId="4" applyFont="1" applyBorder="1" applyAlignment="1">
      <alignment horizontal="center" vertical="center"/>
    </xf>
    <xf numFmtId="0" fontId="8" fillId="4" borderId="1" xfId="4" applyFont="1" applyFill="1" applyBorder="1" applyAlignment="1">
      <alignment horizontal="center" vertical="center"/>
    </xf>
  </cellXfs>
  <cellStyles count="6">
    <cellStyle name="Hipervínculo" xfId="5" builtinId="8"/>
    <cellStyle name="Millares" xfId="1" builtinId="3"/>
    <cellStyle name="Millares 2" xfId="2" xr:uid="{00000000-0005-0000-0000-000031000000}"/>
    <cellStyle name="Moneda 2" xfId="3" xr:uid="{00000000-0005-0000-0000-000032000000}"/>
    <cellStyle name="Normal" xfId="0" builtinId="0"/>
    <cellStyle name="Normal 3" xfId="4" xr:uid="{00000000-0005-0000-0000-00003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187699</xdr:colOff>
      <xdr:row>0</xdr:row>
      <xdr:rowOff>145675</xdr:rowOff>
    </xdr:from>
    <xdr:to>
      <xdr:col>1</xdr:col>
      <xdr:colOff>838944</xdr:colOff>
      <xdr:row>0</xdr:row>
      <xdr:rowOff>1176616</xdr:rowOff>
    </xdr:to>
    <xdr:pic>
      <xdr:nvPicPr>
        <xdr:cNvPr id="3" name="Imagen 2" descr="logo-01.jpg">
          <a:extLst>
            <a:ext uri="{FF2B5EF4-FFF2-40B4-BE49-F238E27FC236}">
              <a16:creationId xmlns:a16="http://schemas.microsoft.com/office/drawing/2014/main" id="{2F01D366-5805-4BE6-82D4-AC26908A00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862" r="5809"/>
        <a:stretch>
          <a:fillRect/>
        </a:stretch>
      </xdr:blipFill>
      <xdr:spPr>
        <a:xfrm>
          <a:off x="187699" y="145675"/>
          <a:ext cx="1738216" cy="10309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431986</xdr:colOff>
      <xdr:row>47</xdr:row>
      <xdr:rowOff>347383</xdr:rowOff>
    </xdr:from>
    <xdr:to>
      <xdr:col>11</xdr:col>
      <xdr:colOff>424701</xdr:colOff>
      <xdr:row>50</xdr:row>
      <xdr:rowOff>73398</xdr:rowOff>
    </xdr:to>
    <xdr:pic>
      <xdr:nvPicPr>
        <xdr:cNvPr id="4" name="Imagen 3" descr="Imagen de WhatsApp 2023-03-09 a las 17.44.48">
          <a:extLst>
            <a:ext uri="{FF2B5EF4-FFF2-40B4-BE49-F238E27FC236}">
              <a16:creationId xmlns:a16="http://schemas.microsoft.com/office/drawing/2014/main" id="{76760FD1-3BDF-4743-9E33-C23C1AD90BD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2668810" y="15934765"/>
          <a:ext cx="124777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246382</xdr:colOff>
      <xdr:row>26</xdr:row>
      <xdr:rowOff>3417093</xdr:rowOff>
    </xdr:from>
    <xdr:ext cx="1599088" cy="264560"/>
    <xdr:sp macro="" textlink="">
      <xdr:nvSpPr>
        <xdr:cNvPr id="5" name="CuadroTexto 4">
          <a:extLst>
            <a:ext uri="{FF2B5EF4-FFF2-40B4-BE49-F238E27FC236}">
              <a16:creationId xmlns:a16="http://schemas.microsoft.com/office/drawing/2014/main" id="{0E4FA272-205A-4B63-9FD6-AD206AD6E4D9}"/>
            </a:ext>
          </a:extLst>
        </xdr:cNvPr>
        <xdr:cNvSpPr txBox="1"/>
      </xdr:nvSpPr>
      <xdr:spPr>
        <a:xfrm>
          <a:off x="10152382" y="8760618"/>
          <a:ext cx="15990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PA" sz="1100"/>
            <a:t>IBIZA</a:t>
          </a:r>
          <a:r>
            <a:rPr lang="es-PA" sz="1100" baseline="0"/>
            <a:t> AREAS COTIZADAS</a:t>
          </a:r>
          <a:endParaRPr lang="es-PA" sz="1100"/>
        </a:p>
      </xdr:txBody>
    </xdr:sp>
    <xdr:clientData/>
  </xdr:oneCellAnchor>
  <xdr:oneCellAnchor>
    <xdr:from>
      <xdr:col>8</xdr:col>
      <xdr:colOff>979489</xdr:colOff>
      <xdr:row>26</xdr:row>
      <xdr:rowOff>3887313</xdr:rowOff>
    </xdr:from>
    <xdr:ext cx="2982882" cy="264560"/>
    <xdr:sp macro="" textlink="">
      <xdr:nvSpPr>
        <xdr:cNvPr id="6" name="CuadroTexto 5">
          <a:extLst>
            <a:ext uri="{FF2B5EF4-FFF2-40B4-BE49-F238E27FC236}">
              <a16:creationId xmlns:a16="http://schemas.microsoft.com/office/drawing/2014/main" id="{48B383DE-F585-4548-B99E-0DCED09C463C}"/>
            </a:ext>
          </a:extLst>
        </xdr:cNvPr>
        <xdr:cNvSpPr txBox="1"/>
      </xdr:nvSpPr>
      <xdr:spPr>
        <a:xfrm>
          <a:off x="10885489" y="9230838"/>
          <a:ext cx="29828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PA" sz="1100"/>
            <a:t>SISTEMA</a:t>
          </a:r>
          <a:r>
            <a:rPr lang="es-PA" sz="1100" baseline="0"/>
            <a:t> DE ANDAMIAJE PERIMETRO Y MEDIO</a:t>
          </a:r>
          <a:endParaRPr lang="es-PA" sz="1100"/>
        </a:p>
      </xdr:txBody>
    </xdr:sp>
    <xdr:clientData/>
  </xdr:oneCellAnchor>
  <xdr:twoCellAnchor>
    <xdr:from>
      <xdr:col>7</xdr:col>
      <xdr:colOff>257175</xdr:colOff>
      <xdr:row>49</xdr:row>
      <xdr:rowOff>47625</xdr:rowOff>
    </xdr:from>
    <xdr:to>
      <xdr:col>7</xdr:col>
      <xdr:colOff>828675</xdr:colOff>
      <xdr:row>49</xdr:row>
      <xdr:rowOff>647700</xdr:rowOff>
    </xdr:to>
    <xdr:pic>
      <xdr:nvPicPr>
        <xdr:cNvPr id="7" name="Imagen 10">
          <a:extLst>
            <a:ext uri="{FF2B5EF4-FFF2-40B4-BE49-F238E27FC236}">
              <a16:creationId xmlns:a16="http://schemas.microsoft.com/office/drawing/2014/main" id="{CAE1D8F0-3599-4CA1-A1A9-F504C163B08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9996" t="46437" r="77777" b="29472"/>
        <a:stretch>
          <a:fillRect/>
        </a:stretch>
      </xdr:blipFill>
      <xdr:spPr>
        <a:xfrm>
          <a:off x="8848725" y="17135475"/>
          <a:ext cx="5715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357188</xdr:colOff>
      <xdr:row>26</xdr:row>
      <xdr:rowOff>424675</xdr:rowOff>
    </xdr:from>
    <xdr:to>
      <xdr:col>33</xdr:col>
      <xdr:colOff>287574</xdr:colOff>
      <xdr:row>35</xdr:row>
      <xdr:rowOff>220056</xdr:rowOff>
    </xdr:to>
    <xdr:pic>
      <xdr:nvPicPr>
        <xdr:cNvPr id="8" name="Imagen 7">
          <a:extLst>
            <a:ext uri="{FF2B5EF4-FFF2-40B4-BE49-F238E27FC236}">
              <a16:creationId xmlns:a16="http://schemas.microsoft.com/office/drawing/2014/main" id="{049C6415-4AE4-47D3-B411-6A692C3E543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t="10521" r="2648" b="4876"/>
        <a:stretch>
          <a:fillRect/>
        </a:stretch>
      </xdr:blipFill>
      <xdr:spPr>
        <a:xfrm>
          <a:off x="26979563" y="5768200"/>
          <a:ext cx="3692762" cy="2468544"/>
        </a:xfrm>
        <a:prstGeom prst="rect">
          <a:avLst/>
        </a:prstGeom>
      </xdr:spPr>
    </xdr:pic>
    <xdr:clientData/>
  </xdr:twoCellAnchor>
  <xdr:twoCellAnchor editAs="oneCell">
    <xdr:from>
      <xdr:col>25</xdr:col>
      <xdr:colOff>357188</xdr:colOff>
      <xdr:row>26</xdr:row>
      <xdr:rowOff>2428875</xdr:rowOff>
    </xdr:from>
    <xdr:to>
      <xdr:col>27</xdr:col>
      <xdr:colOff>610006</xdr:colOff>
      <xdr:row>33</xdr:row>
      <xdr:rowOff>313204</xdr:rowOff>
    </xdr:to>
    <xdr:pic>
      <xdr:nvPicPr>
        <xdr:cNvPr id="9" name="Imagen 8">
          <a:extLst>
            <a:ext uri="{FF2B5EF4-FFF2-40B4-BE49-F238E27FC236}">
              <a16:creationId xmlns:a16="http://schemas.microsoft.com/office/drawing/2014/main" id="{7A73E81E-955E-4F9B-9953-ECC7D8E073E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l="16321" t="18170" r="14235" b="6922"/>
        <a:stretch>
          <a:fillRect/>
        </a:stretch>
      </xdr:blipFill>
      <xdr:spPr>
        <a:xfrm>
          <a:off x="24722138" y="7772400"/>
          <a:ext cx="1757767" cy="2057400"/>
        </a:xfrm>
        <a:prstGeom prst="rect">
          <a:avLst/>
        </a:prstGeom>
      </xdr:spPr>
    </xdr:pic>
    <xdr:clientData/>
  </xdr:twoCellAnchor>
  <xdr:twoCellAnchor editAs="oneCell">
    <xdr:from>
      <xdr:col>6</xdr:col>
      <xdr:colOff>666748</xdr:colOff>
      <xdr:row>0</xdr:row>
      <xdr:rowOff>71436</xdr:rowOff>
    </xdr:from>
    <xdr:to>
      <xdr:col>7</xdr:col>
      <xdr:colOff>1285874</xdr:colOff>
      <xdr:row>0</xdr:row>
      <xdr:rowOff>1190885</xdr:rowOff>
    </xdr:to>
    <xdr:pic>
      <xdr:nvPicPr>
        <xdr:cNvPr id="2" name="Imagen 1">
          <a:extLst>
            <a:ext uri="{FF2B5EF4-FFF2-40B4-BE49-F238E27FC236}">
              <a16:creationId xmlns:a16="http://schemas.microsoft.com/office/drawing/2014/main" id="{BDD445FB-9D4D-4394-BA2D-B13EBB851207}"/>
            </a:ext>
          </a:extLst>
        </xdr:cNvPr>
        <xdr:cNvPicPr>
          <a:picLocks noChangeAspect="1"/>
        </xdr:cNvPicPr>
      </xdr:nvPicPr>
      <xdr:blipFill>
        <a:blip xmlns:r="http://schemas.openxmlformats.org/officeDocument/2006/relationships" r:embed="rId6"/>
        <a:stretch>
          <a:fillRect/>
        </a:stretch>
      </xdr:blipFill>
      <xdr:spPr>
        <a:xfrm>
          <a:off x="7691436" y="71436"/>
          <a:ext cx="2190751" cy="11194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187699</xdr:colOff>
      <xdr:row>0</xdr:row>
      <xdr:rowOff>145675</xdr:rowOff>
    </xdr:from>
    <xdr:to>
      <xdr:col>1</xdr:col>
      <xdr:colOff>838944</xdr:colOff>
      <xdr:row>0</xdr:row>
      <xdr:rowOff>1176616</xdr:rowOff>
    </xdr:to>
    <xdr:pic>
      <xdr:nvPicPr>
        <xdr:cNvPr id="2" name="Imagen 1" descr="logo-01.jpg">
          <a:extLst>
            <a:ext uri="{FF2B5EF4-FFF2-40B4-BE49-F238E27FC236}">
              <a16:creationId xmlns:a16="http://schemas.microsoft.com/office/drawing/2014/main" id="{8D764A8F-E264-4F05-B577-7646E21E8C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862" r="5809"/>
        <a:stretch>
          <a:fillRect/>
        </a:stretch>
      </xdr:blipFill>
      <xdr:spPr>
        <a:xfrm>
          <a:off x="187699" y="145675"/>
          <a:ext cx="1737095" cy="10309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431986</xdr:colOff>
      <xdr:row>47</xdr:row>
      <xdr:rowOff>347383</xdr:rowOff>
    </xdr:from>
    <xdr:to>
      <xdr:col>11</xdr:col>
      <xdr:colOff>424701</xdr:colOff>
      <xdr:row>50</xdr:row>
      <xdr:rowOff>73398</xdr:rowOff>
    </xdr:to>
    <xdr:pic>
      <xdr:nvPicPr>
        <xdr:cNvPr id="3" name="Imagen 2" descr="Imagen de WhatsApp 2023-03-09 a las 17.44.48">
          <a:extLst>
            <a:ext uri="{FF2B5EF4-FFF2-40B4-BE49-F238E27FC236}">
              <a16:creationId xmlns:a16="http://schemas.microsoft.com/office/drawing/2014/main" id="{9BCBE15B-AE36-4577-A5BB-8D087306A0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3290736" y="10891558"/>
          <a:ext cx="1250015" cy="792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246382</xdr:colOff>
      <xdr:row>26</xdr:row>
      <xdr:rowOff>3417093</xdr:rowOff>
    </xdr:from>
    <xdr:ext cx="1599088" cy="264560"/>
    <xdr:sp macro="" textlink="">
      <xdr:nvSpPr>
        <xdr:cNvPr id="4" name="CuadroTexto 3">
          <a:extLst>
            <a:ext uri="{FF2B5EF4-FFF2-40B4-BE49-F238E27FC236}">
              <a16:creationId xmlns:a16="http://schemas.microsoft.com/office/drawing/2014/main" id="{4146FB7F-6E8A-4786-AF83-782EBEA144E3}"/>
            </a:ext>
          </a:extLst>
        </xdr:cNvPr>
        <xdr:cNvSpPr txBox="1"/>
      </xdr:nvSpPr>
      <xdr:spPr>
        <a:xfrm>
          <a:off x="10771507" y="5541168"/>
          <a:ext cx="15990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PA" sz="1100"/>
            <a:t>IBIZA</a:t>
          </a:r>
          <a:r>
            <a:rPr lang="es-PA" sz="1100" baseline="0"/>
            <a:t> AREAS COTIZADAS</a:t>
          </a:r>
          <a:endParaRPr lang="es-PA" sz="1100"/>
        </a:p>
      </xdr:txBody>
    </xdr:sp>
    <xdr:clientData/>
  </xdr:oneCellAnchor>
  <xdr:oneCellAnchor>
    <xdr:from>
      <xdr:col>8</xdr:col>
      <xdr:colOff>979489</xdr:colOff>
      <xdr:row>26</xdr:row>
      <xdr:rowOff>3887313</xdr:rowOff>
    </xdr:from>
    <xdr:ext cx="2982882" cy="264560"/>
    <xdr:sp macro="" textlink="">
      <xdr:nvSpPr>
        <xdr:cNvPr id="5" name="CuadroTexto 4">
          <a:extLst>
            <a:ext uri="{FF2B5EF4-FFF2-40B4-BE49-F238E27FC236}">
              <a16:creationId xmlns:a16="http://schemas.microsoft.com/office/drawing/2014/main" id="{5EC6552E-A8F8-43D8-8748-41DB559464DD}"/>
            </a:ext>
          </a:extLst>
        </xdr:cNvPr>
        <xdr:cNvSpPr txBox="1"/>
      </xdr:nvSpPr>
      <xdr:spPr>
        <a:xfrm>
          <a:off x="11504614" y="5544663"/>
          <a:ext cx="29828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PA" sz="1100"/>
            <a:t>SISTEMA</a:t>
          </a:r>
          <a:r>
            <a:rPr lang="es-PA" sz="1100" baseline="0"/>
            <a:t> DE ANDAMIAJE PERIMETRO Y MEDIO</a:t>
          </a:r>
          <a:endParaRPr lang="es-PA" sz="1100"/>
        </a:p>
      </xdr:txBody>
    </xdr:sp>
    <xdr:clientData/>
  </xdr:oneCellAnchor>
  <xdr:twoCellAnchor>
    <xdr:from>
      <xdr:col>7</xdr:col>
      <xdr:colOff>257175</xdr:colOff>
      <xdr:row>49</xdr:row>
      <xdr:rowOff>47625</xdr:rowOff>
    </xdr:from>
    <xdr:to>
      <xdr:col>7</xdr:col>
      <xdr:colOff>828675</xdr:colOff>
      <xdr:row>49</xdr:row>
      <xdr:rowOff>647700</xdr:rowOff>
    </xdr:to>
    <xdr:pic>
      <xdr:nvPicPr>
        <xdr:cNvPr id="6" name="Imagen 10">
          <a:extLst>
            <a:ext uri="{FF2B5EF4-FFF2-40B4-BE49-F238E27FC236}">
              <a16:creationId xmlns:a16="http://schemas.microsoft.com/office/drawing/2014/main" id="{2E7A9CE5-359F-4813-B772-DCDF7352F9E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9996" t="46437" r="77777" b="29472"/>
        <a:stretch>
          <a:fillRect/>
        </a:stretch>
      </xdr:blipFill>
      <xdr:spPr>
        <a:xfrm>
          <a:off x="8848725" y="11125200"/>
          <a:ext cx="5715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357188</xdr:colOff>
      <xdr:row>26</xdr:row>
      <xdr:rowOff>424675</xdr:rowOff>
    </xdr:from>
    <xdr:to>
      <xdr:col>33</xdr:col>
      <xdr:colOff>287574</xdr:colOff>
      <xdr:row>35</xdr:row>
      <xdr:rowOff>220056</xdr:rowOff>
    </xdr:to>
    <xdr:pic>
      <xdr:nvPicPr>
        <xdr:cNvPr id="7" name="Imagen 6">
          <a:extLst>
            <a:ext uri="{FF2B5EF4-FFF2-40B4-BE49-F238E27FC236}">
              <a16:creationId xmlns:a16="http://schemas.microsoft.com/office/drawing/2014/main" id="{5166CF3D-BC56-43E3-8851-59008A07ECB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t="10521" r="2648" b="4876"/>
        <a:stretch>
          <a:fillRect/>
        </a:stretch>
      </xdr:blipFill>
      <xdr:spPr>
        <a:xfrm>
          <a:off x="27598688" y="5539600"/>
          <a:ext cx="3692761" cy="2500481"/>
        </a:xfrm>
        <a:prstGeom prst="rect">
          <a:avLst/>
        </a:prstGeom>
      </xdr:spPr>
    </xdr:pic>
    <xdr:clientData/>
  </xdr:twoCellAnchor>
  <xdr:twoCellAnchor editAs="oneCell">
    <xdr:from>
      <xdr:col>25</xdr:col>
      <xdr:colOff>357188</xdr:colOff>
      <xdr:row>26</xdr:row>
      <xdr:rowOff>2428875</xdr:rowOff>
    </xdr:from>
    <xdr:to>
      <xdr:col>27</xdr:col>
      <xdr:colOff>610005</xdr:colOff>
      <xdr:row>33</xdr:row>
      <xdr:rowOff>313204</xdr:rowOff>
    </xdr:to>
    <xdr:pic>
      <xdr:nvPicPr>
        <xdr:cNvPr id="8" name="Imagen 7">
          <a:extLst>
            <a:ext uri="{FF2B5EF4-FFF2-40B4-BE49-F238E27FC236}">
              <a16:creationId xmlns:a16="http://schemas.microsoft.com/office/drawing/2014/main" id="{14EE8891-4C35-4D25-9BF6-28BD467CE82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l="16321" t="18170" r="14235" b="6922"/>
        <a:stretch>
          <a:fillRect/>
        </a:stretch>
      </xdr:blipFill>
      <xdr:spPr>
        <a:xfrm>
          <a:off x="25341263" y="5543550"/>
          <a:ext cx="1757767" cy="2075329"/>
        </a:xfrm>
        <a:prstGeom prst="rect">
          <a:avLst/>
        </a:prstGeom>
      </xdr:spPr>
    </xdr:pic>
    <xdr:clientData/>
  </xdr:twoCellAnchor>
  <xdr:twoCellAnchor editAs="oneCell">
    <xdr:from>
      <xdr:col>6</xdr:col>
      <xdr:colOff>666748</xdr:colOff>
      <xdr:row>0</xdr:row>
      <xdr:rowOff>71436</xdr:rowOff>
    </xdr:from>
    <xdr:to>
      <xdr:col>7</xdr:col>
      <xdr:colOff>1285874</xdr:colOff>
      <xdr:row>0</xdr:row>
      <xdr:rowOff>1190885</xdr:rowOff>
    </xdr:to>
    <xdr:pic>
      <xdr:nvPicPr>
        <xdr:cNvPr id="9" name="Imagen 8">
          <a:extLst>
            <a:ext uri="{FF2B5EF4-FFF2-40B4-BE49-F238E27FC236}">
              <a16:creationId xmlns:a16="http://schemas.microsoft.com/office/drawing/2014/main" id="{0D043C1C-E184-4805-8614-34B9C93DF00C}"/>
            </a:ext>
          </a:extLst>
        </xdr:cNvPr>
        <xdr:cNvPicPr>
          <a:picLocks noChangeAspect="1"/>
        </xdr:cNvPicPr>
      </xdr:nvPicPr>
      <xdr:blipFill>
        <a:blip xmlns:r="http://schemas.openxmlformats.org/officeDocument/2006/relationships" r:embed="rId6"/>
        <a:stretch>
          <a:fillRect/>
        </a:stretch>
      </xdr:blipFill>
      <xdr:spPr>
        <a:xfrm>
          <a:off x="7686673" y="71436"/>
          <a:ext cx="2190751" cy="111944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orge.teran@tersmovere.com.mx"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jorge.teran@tersmovere.com.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B97F-D9B5-4278-9AA2-FAE78669F0EE}">
  <dimension ref="A1:R61"/>
  <sheetViews>
    <sheetView view="pageBreakPreview" topLeftCell="A42" zoomScale="80" zoomScaleNormal="80" zoomScaleSheetLayoutView="80" workbookViewId="0">
      <selection activeCell="C68" sqref="C67:C68"/>
    </sheetView>
  </sheetViews>
  <sheetFormatPr defaultColWidth="11.28515625" defaultRowHeight="12.75"/>
  <cols>
    <col min="1" max="2" width="16.28515625" style="11" customWidth="1"/>
    <col min="3" max="3" width="31.5703125" style="11" customWidth="1"/>
    <col min="4" max="5" width="16" style="11" customWidth="1"/>
    <col min="6" max="6" width="9.140625" style="11" customWidth="1"/>
    <col min="7" max="7" width="23.5703125" style="12" customWidth="1"/>
    <col min="8" max="8" width="29" style="12" customWidth="1"/>
    <col min="9" max="9" width="17.5703125" style="11" customWidth="1"/>
    <col min="10" max="10" width="17.42578125" style="11" customWidth="1"/>
    <col min="11" max="11" width="18.85546875" style="11" customWidth="1"/>
    <col min="12" max="16" width="11.28515625" style="11"/>
    <col min="17" max="17" width="13" style="11" bestFit="1" customWidth="1"/>
    <col min="18" max="18" width="16.28515625" style="11" customWidth="1"/>
    <col min="19" max="16384" width="11.28515625" style="11"/>
  </cols>
  <sheetData>
    <row r="1" spans="1:18" ht="102" customHeight="1">
      <c r="A1" s="56"/>
      <c r="B1" s="56"/>
      <c r="C1" s="129" t="s">
        <v>0</v>
      </c>
      <c r="D1" s="130"/>
      <c r="E1" s="130"/>
      <c r="F1" s="130"/>
      <c r="G1" s="69"/>
      <c r="H1" s="69"/>
    </row>
    <row r="2" spans="1:18" ht="25.15" customHeight="1">
      <c r="A2" s="37" t="s">
        <v>1</v>
      </c>
      <c r="B2" s="13">
        <f ca="1">TODAY()</f>
        <v>46320</v>
      </c>
      <c r="C2" s="131"/>
      <c r="D2" s="131"/>
      <c r="E2" s="131"/>
      <c r="F2" s="131"/>
      <c r="G2" s="14" t="s">
        <v>2</v>
      </c>
      <c r="H2" s="25" t="s">
        <v>3</v>
      </c>
    </row>
    <row r="3" spans="1:18" ht="25.15" customHeight="1">
      <c r="A3" s="64" t="s">
        <v>4</v>
      </c>
      <c r="B3" s="64"/>
      <c r="C3" s="127" t="s">
        <v>5</v>
      </c>
      <c r="D3" s="127"/>
      <c r="E3" s="127"/>
      <c r="F3" s="127"/>
      <c r="G3" s="127"/>
      <c r="H3" s="127"/>
    </row>
    <row r="4" spans="1:18" ht="36.75" customHeight="1">
      <c r="A4" s="64" t="s">
        <v>6</v>
      </c>
      <c r="B4" s="64"/>
      <c r="C4" s="124" t="s">
        <v>7</v>
      </c>
      <c r="D4" s="125"/>
      <c r="E4" s="125"/>
      <c r="F4" s="125"/>
      <c r="G4" s="125"/>
      <c r="H4" s="126"/>
    </row>
    <row r="5" spans="1:18" ht="25.15" customHeight="1">
      <c r="A5" s="64" t="s">
        <v>8</v>
      </c>
      <c r="B5" s="64"/>
      <c r="C5" s="127" t="s">
        <v>9</v>
      </c>
      <c r="D5" s="127"/>
      <c r="E5" s="127"/>
      <c r="F5" s="127"/>
      <c r="G5" s="127"/>
      <c r="H5" s="127"/>
    </row>
    <row r="6" spans="1:18" ht="15.75">
      <c r="A6" s="64" t="s">
        <v>10</v>
      </c>
      <c r="B6" s="64"/>
      <c r="C6" s="128" t="s">
        <v>11</v>
      </c>
      <c r="D6" s="128"/>
      <c r="E6" s="128"/>
      <c r="F6" s="128"/>
      <c r="G6" s="44" t="s">
        <v>10</v>
      </c>
      <c r="H6" s="40" t="s">
        <v>12</v>
      </c>
    </row>
    <row r="7" spans="1:18" ht="15.75">
      <c r="A7" s="109"/>
      <c r="B7" s="109"/>
      <c r="C7" s="109"/>
      <c r="D7" s="109"/>
      <c r="E7" s="109"/>
      <c r="F7" s="109"/>
      <c r="G7" s="109"/>
      <c r="H7" s="109"/>
    </row>
    <row r="8" spans="1:18" s="7" customFormat="1" ht="34.5" customHeight="1">
      <c r="A8" s="113" t="s">
        <v>13</v>
      </c>
      <c r="B8" s="113"/>
      <c r="C8" s="113"/>
      <c r="D8" s="113"/>
      <c r="E8" s="113"/>
      <c r="F8" s="113"/>
      <c r="G8" s="113"/>
      <c r="H8" s="113"/>
      <c r="R8" s="45" t="s">
        <v>14</v>
      </c>
    </row>
    <row r="9" spans="1:18" s="8" customFormat="1" ht="15">
      <c r="A9" s="38" t="s">
        <v>15</v>
      </c>
      <c r="B9" s="15" t="s">
        <v>16</v>
      </c>
      <c r="C9" s="112" t="s">
        <v>17</v>
      </c>
      <c r="D9" s="112"/>
      <c r="E9" s="112"/>
      <c r="F9" s="112"/>
      <c r="G9" s="16" t="s">
        <v>18</v>
      </c>
      <c r="H9" s="16" t="s">
        <v>14</v>
      </c>
      <c r="J9" s="8" t="s">
        <v>19</v>
      </c>
      <c r="K9" s="8" t="s">
        <v>20</v>
      </c>
      <c r="L9" s="8" t="s">
        <v>21</v>
      </c>
      <c r="N9" s="8" t="s">
        <v>22</v>
      </c>
      <c r="R9" s="8">
        <v>240</v>
      </c>
    </row>
    <row r="10" spans="1:18" s="9" customFormat="1" ht="25.9" hidden="1" customHeight="1">
      <c r="A10" s="114">
        <v>1</v>
      </c>
      <c r="B10" s="116" t="s">
        <v>23</v>
      </c>
      <c r="C10" s="118" t="s">
        <v>24</v>
      </c>
      <c r="D10" s="119"/>
      <c r="E10" s="119"/>
      <c r="F10" s="120"/>
      <c r="G10" s="102">
        <v>0</v>
      </c>
      <c r="H10" s="104">
        <f>G10*A10</f>
        <v>0</v>
      </c>
      <c r="J10" s="9">
        <v>70.8</v>
      </c>
      <c r="K10" s="30">
        <v>0.1</v>
      </c>
      <c r="L10" s="9">
        <f>J10*K10</f>
        <v>7.08</v>
      </c>
      <c r="N10" s="9">
        <f>J10+L10</f>
        <v>77.88</v>
      </c>
    </row>
    <row r="11" spans="1:18" s="9" customFormat="1" ht="40.5" hidden="1" customHeight="1">
      <c r="A11" s="115"/>
      <c r="B11" s="117"/>
      <c r="C11" s="121"/>
      <c r="D11" s="122"/>
      <c r="E11" s="122"/>
      <c r="F11" s="123"/>
      <c r="G11" s="103"/>
      <c r="H11" s="105"/>
      <c r="J11" s="9">
        <v>144.26</v>
      </c>
      <c r="K11" s="30">
        <v>0.05</v>
      </c>
      <c r="L11" s="9">
        <f t="shared" ref="L11" si="0">J11*K11</f>
        <v>7.2130000000000001</v>
      </c>
      <c r="N11" s="9">
        <f>J11+L11</f>
        <v>151.47299999999998</v>
      </c>
    </row>
    <row r="12" spans="1:18" s="9" customFormat="1" ht="60" customHeight="1">
      <c r="A12" s="46">
        <v>345.6</v>
      </c>
      <c r="B12" s="42" t="s">
        <v>25</v>
      </c>
      <c r="C12" s="99" t="s">
        <v>26</v>
      </c>
      <c r="D12" s="100"/>
      <c r="E12" s="100"/>
      <c r="F12" s="101"/>
      <c r="G12" s="102">
        <v>240</v>
      </c>
      <c r="H12" s="104">
        <f>G12*A12</f>
        <v>82944</v>
      </c>
      <c r="K12" s="30"/>
    </row>
    <row r="13" spans="1:18" s="9" customFormat="1" ht="45" hidden="1" customHeight="1">
      <c r="A13" s="106" t="s">
        <v>27</v>
      </c>
      <c r="B13" s="107"/>
      <c r="C13" s="107"/>
      <c r="D13" s="107"/>
      <c r="E13" s="107"/>
      <c r="F13" s="107"/>
      <c r="G13" s="103"/>
      <c r="H13" s="105"/>
      <c r="K13" s="30"/>
      <c r="N13" s="9">
        <f>N10+N11</f>
        <v>229.35299999999998</v>
      </c>
    </row>
    <row r="14" spans="1:18" s="10" customFormat="1" ht="15.75">
      <c r="A14" s="17">
        <f>A12</f>
        <v>345.6</v>
      </c>
      <c r="B14" s="36" t="s">
        <v>28</v>
      </c>
      <c r="C14" s="108"/>
      <c r="D14" s="108"/>
      <c r="E14" s="108"/>
      <c r="F14" s="108"/>
      <c r="G14" s="36" t="s">
        <v>29</v>
      </c>
      <c r="H14" s="31">
        <f>SUM(H10:H13)</f>
        <v>82944</v>
      </c>
      <c r="K14" s="30"/>
      <c r="L14" s="9"/>
      <c r="N14" s="9"/>
      <c r="Q14" s="47">
        <f>H31/240</f>
        <v>37.5</v>
      </c>
    </row>
    <row r="15" spans="1:18" s="10" customFormat="1" ht="15.75">
      <c r="A15" s="109"/>
      <c r="B15" s="109"/>
      <c r="C15" s="109"/>
      <c r="D15" s="109"/>
      <c r="E15" s="109"/>
      <c r="F15" s="109"/>
      <c r="G15" s="109"/>
      <c r="H15" s="109"/>
      <c r="K15" s="30"/>
      <c r="L15" s="9"/>
      <c r="N15" s="9"/>
    </row>
    <row r="16" spans="1:18" s="7" customFormat="1" ht="22.15" customHeight="1">
      <c r="A16" s="18">
        <f>A14</f>
        <v>345.6</v>
      </c>
      <c r="B16" s="39" t="s">
        <v>28</v>
      </c>
      <c r="C16" s="110" t="s">
        <v>30</v>
      </c>
      <c r="D16" s="110"/>
      <c r="E16" s="110"/>
      <c r="F16" s="110"/>
      <c r="G16" s="39"/>
      <c r="H16" s="32">
        <f>H14</f>
        <v>82944</v>
      </c>
      <c r="Q16" s="48">
        <f>Q14*240</f>
        <v>9000</v>
      </c>
    </row>
    <row r="17" spans="1:10" s="7" customFormat="1">
      <c r="A17" s="84"/>
      <c r="B17" s="84"/>
      <c r="C17" s="84"/>
      <c r="D17" s="84"/>
      <c r="E17" s="84"/>
      <c r="F17" s="84"/>
      <c r="G17" s="84"/>
      <c r="H17" s="84"/>
    </row>
    <row r="18" spans="1:10" s="7" customFormat="1" ht="18" hidden="1">
      <c r="A18" s="111" t="s">
        <v>31</v>
      </c>
      <c r="B18" s="111"/>
      <c r="C18" s="111"/>
      <c r="D18" s="111"/>
      <c r="E18" s="111"/>
      <c r="F18" s="111"/>
      <c r="G18" s="111"/>
      <c r="H18" s="111"/>
    </row>
    <row r="19" spans="1:10" s="7" customFormat="1" ht="15" hidden="1">
      <c r="A19" s="38" t="s">
        <v>15</v>
      </c>
      <c r="B19" s="15" t="s">
        <v>16</v>
      </c>
      <c r="C19" s="112" t="s">
        <v>17</v>
      </c>
      <c r="D19" s="112"/>
      <c r="E19" s="112"/>
      <c r="F19" s="112"/>
      <c r="G19" s="16" t="s">
        <v>18</v>
      </c>
      <c r="H19" s="16" t="s">
        <v>14</v>
      </c>
    </row>
    <row r="20" spans="1:10" s="7" customFormat="1" ht="65.099999999999994" hidden="1" customHeight="1">
      <c r="A20" s="19">
        <v>0</v>
      </c>
      <c r="B20" s="19" t="s">
        <v>32</v>
      </c>
      <c r="C20" s="98" t="s">
        <v>33</v>
      </c>
      <c r="D20" s="98"/>
      <c r="E20" s="98"/>
      <c r="F20" s="98"/>
      <c r="G20" s="20">
        <v>270</v>
      </c>
      <c r="H20" s="26">
        <f>A20*G20</f>
        <v>0</v>
      </c>
    </row>
    <row r="21" spans="1:10" s="7" customFormat="1" ht="51" hidden="1" customHeight="1">
      <c r="A21" s="19">
        <v>0</v>
      </c>
      <c r="B21" s="19" t="s">
        <v>32</v>
      </c>
      <c r="C21" s="98" t="s">
        <v>34</v>
      </c>
      <c r="D21" s="98"/>
      <c r="E21" s="98"/>
      <c r="F21" s="98"/>
      <c r="G21" s="20">
        <v>270</v>
      </c>
      <c r="H21" s="26">
        <f>A21*G21</f>
        <v>0</v>
      </c>
    </row>
    <row r="22" spans="1:10" s="7" customFormat="1" ht="51.75" hidden="1" customHeight="1">
      <c r="A22" s="19">
        <v>0</v>
      </c>
      <c r="B22" s="19" t="s">
        <v>23</v>
      </c>
      <c r="C22" s="77" t="s">
        <v>35</v>
      </c>
      <c r="D22" s="78"/>
      <c r="E22" s="78"/>
      <c r="F22" s="79"/>
      <c r="G22" s="20">
        <v>4500</v>
      </c>
      <c r="H22" s="26">
        <f>A22*G22</f>
        <v>0</v>
      </c>
    </row>
    <row r="23" spans="1:10" s="7" customFormat="1" ht="51.75" hidden="1" customHeight="1">
      <c r="A23" s="19">
        <v>0</v>
      </c>
      <c r="B23" s="19" t="s">
        <v>23</v>
      </c>
      <c r="C23" s="80" t="s">
        <v>36</v>
      </c>
      <c r="D23" s="81"/>
      <c r="E23" s="81"/>
      <c r="F23" s="82"/>
      <c r="G23" s="20">
        <v>5450</v>
      </c>
      <c r="H23" s="26">
        <f>G23*A23</f>
        <v>0</v>
      </c>
    </row>
    <row r="24" spans="1:10" s="7" customFormat="1" ht="15.75" hidden="1">
      <c r="A24" s="39"/>
      <c r="B24" s="21" t="s">
        <v>22</v>
      </c>
      <c r="C24" s="83"/>
      <c r="D24" s="83"/>
      <c r="E24" s="83"/>
      <c r="F24" s="83"/>
      <c r="G24" s="22" t="s">
        <v>37</v>
      </c>
      <c r="H24" s="27">
        <f>SUM(H20:H23)</f>
        <v>0</v>
      </c>
    </row>
    <row r="25" spans="1:10" s="7" customFormat="1" hidden="1">
      <c r="A25" s="84"/>
      <c r="B25" s="84"/>
      <c r="C25" s="84"/>
      <c r="D25" s="84"/>
      <c r="E25" s="84"/>
      <c r="F25" s="84"/>
      <c r="G25" s="84"/>
      <c r="H25" s="84"/>
    </row>
    <row r="26" spans="1:10" s="7" customFormat="1" ht="15" customHeight="1">
      <c r="A26" s="85" t="s">
        <v>38</v>
      </c>
      <c r="B26" s="85"/>
      <c r="C26" s="85"/>
      <c r="D26" s="85"/>
      <c r="E26" s="85"/>
      <c r="F26" s="85"/>
      <c r="G26" s="85"/>
      <c r="H26" s="85"/>
    </row>
    <row r="27" spans="1:10" s="7" customFormat="1" ht="1.5" customHeight="1">
      <c r="A27" s="86"/>
      <c r="B27" s="86"/>
      <c r="C27" s="86"/>
      <c r="D27" s="86"/>
      <c r="E27" s="86"/>
      <c r="F27" s="86"/>
      <c r="G27" s="86"/>
      <c r="H27" s="86"/>
    </row>
    <row r="28" spans="1:10" ht="28.15" customHeight="1">
      <c r="A28" s="87" t="s">
        <v>39</v>
      </c>
      <c r="B28" s="88"/>
      <c r="C28" s="88"/>
      <c r="D28" s="88"/>
      <c r="E28" s="88"/>
      <c r="F28" s="89"/>
      <c r="G28" s="23" t="s">
        <v>37</v>
      </c>
      <c r="H28" s="2">
        <f>H16</f>
        <v>82944</v>
      </c>
      <c r="J28" s="33">
        <v>316883.40000000002</v>
      </c>
    </row>
    <row r="29" spans="1:10" ht="28.15" hidden="1" customHeight="1">
      <c r="A29" s="90"/>
      <c r="B29" s="91"/>
      <c r="C29" s="91"/>
      <c r="D29" s="91"/>
      <c r="E29" s="91"/>
      <c r="F29" s="92"/>
      <c r="G29" s="23" t="s">
        <v>40</v>
      </c>
      <c r="H29" s="2">
        <f>H28*8%</f>
        <v>6635.52</v>
      </c>
      <c r="J29" s="2"/>
    </row>
    <row r="30" spans="1:10" ht="28.15" customHeight="1">
      <c r="A30" s="93"/>
      <c r="B30" s="94"/>
      <c r="C30" s="94"/>
      <c r="D30" s="94"/>
      <c r="E30" s="94"/>
      <c r="F30" s="95"/>
      <c r="G30" s="1" t="s">
        <v>41</v>
      </c>
      <c r="H30" s="34">
        <f>H28</f>
        <v>82944</v>
      </c>
      <c r="J30" s="2">
        <f>H34-J28</f>
        <v>-210228.36000000002</v>
      </c>
    </row>
    <row r="31" spans="1:10" ht="28.15" customHeight="1">
      <c r="A31" s="96" t="s">
        <v>42</v>
      </c>
      <c r="B31" s="96"/>
      <c r="C31" s="97" t="s">
        <v>43</v>
      </c>
      <c r="D31" s="97"/>
      <c r="E31" s="97"/>
      <c r="F31" s="97"/>
      <c r="G31" s="3" t="s">
        <v>44</v>
      </c>
      <c r="H31" s="43">
        <v>9000</v>
      </c>
      <c r="J31" s="4"/>
    </row>
    <row r="32" spans="1:10" ht="28.15" customHeight="1">
      <c r="A32" s="96"/>
      <c r="B32" s="96"/>
      <c r="C32" s="97"/>
      <c r="D32" s="97"/>
      <c r="E32" s="97"/>
      <c r="F32" s="97"/>
      <c r="G32" s="1" t="s">
        <v>45</v>
      </c>
      <c r="H32" s="2">
        <f>H30+H31</f>
        <v>91944</v>
      </c>
      <c r="J32" s="2"/>
    </row>
    <row r="33" spans="1:10" ht="28.15" customHeight="1">
      <c r="A33" s="96"/>
      <c r="B33" s="96"/>
      <c r="C33" s="97"/>
      <c r="D33" s="97"/>
      <c r="E33" s="97"/>
      <c r="F33" s="97"/>
      <c r="G33" s="3" t="s">
        <v>46</v>
      </c>
      <c r="H33" s="4">
        <f>H32*0.16</f>
        <v>14711.04</v>
      </c>
      <c r="J33" s="4"/>
    </row>
    <row r="34" spans="1:10" ht="28.15" customHeight="1">
      <c r="A34" s="96"/>
      <c r="B34" s="96"/>
      <c r="C34" s="97"/>
      <c r="D34" s="97"/>
      <c r="E34" s="97"/>
      <c r="F34" s="97"/>
      <c r="G34" s="5" t="s">
        <v>47</v>
      </c>
      <c r="H34" s="6">
        <f>H32+H33</f>
        <v>106655.04000000001</v>
      </c>
      <c r="I34" s="28"/>
      <c r="J34" s="6"/>
    </row>
    <row r="35" spans="1:10">
      <c r="A35" s="56"/>
      <c r="B35" s="56"/>
      <c r="C35" s="56"/>
      <c r="D35" s="56"/>
      <c r="E35" s="56"/>
      <c r="F35" s="56"/>
      <c r="G35" s="56"/>
      <c r="H35" s="56"/>
    </row>
    <row r="36" spans="1:10" ht="19.5" customHeight="1">
      <c r="A36" s="96" t="s">
        <v>48</v>
      </c>
      <c r="B36" s="96"/>
      <c r="C36" s="96"/>
      <c r="D36" s="96"/>
      <c r="E36" s="96"/>
      <c r="F36" s="96"/>
      <c r="G36" s="96"/>
      <c r="H36" s="96"/>
    </row>
    <row r="37" spans="1:10" ht="12" customHeight="1">
      <c r="A37" s="76"/>
      <c r="B37" s="76"/>
      <c r="C37" s="76"/>
      <c r="D37" s="76"/>
      <c r="E37" s="76"/>
      <c r="F37" s="76"/>
      <c r="G37" s="76"/>
      <c r="H37" s="76"/>
    </row>
    <row r="38" spans="1:10" ht="29.25" customHeight="1">
      <c r="A38" s="67" t="s">
        <v>49</v>
      </c>
      <c r="B38" s="67"/>
      <c r="C38" s="65" t="s">
        <v>50</v>
      </c>
      <c r="D38" s="65"/>
      <c r="E38" s="65"/>
      <c r="F38" s="65"/>
      <c r="G38" s="58" t="s">
        <v>51</v>
      </c>
      <c r="H38" s="58"/>
    </row>
    <row r="39" spans="1:10" ht="19.899999999999999" customHeight="1">
      <c r="A39" s="71" t="s">
        <v>52</v>
      </c>
      <c r="B39" s="71"/>
      <c r="C39" s="65" t="s">
        <v>53</v>
      </c>
      <c r="D39" s="65"/>
      <c r="E39" s="65"/>
      <c r="F39" s="65"/>
      <c r="G39" s="69"/>
      <c r="H39" s="69"/>
    </row>
    <row r="40" spans="1:10" ht="29.25" hidden="1" customHeight="1">
      <c r="A40" s="73" t="s">
        <v>54</v>
      </c>
      <c r="B40" s="73"/>
      <c r="C40" s="24" t="s">
        <v>55</v>
      </c>
      <c r="D40" s="74">
        <f>H34*0.6</f>
        <v>63993.024000000005</v>
      </c>
      <c r="E40" s="74"/>
      <c r="F40" s="74"/>
      <c r="G40" s="72"/>
      <c r="H40" s="72"/>
    </row>
    <row r="41" spans="1:10" ht="36" hidden="1" customHeight="1">
      <c r="A41" s="73"/>
      <c r="B41" s="73"/>
      <c r="C41" s="24" t="s">
        <v>56</v>
      </c>
      <c r="D41" s="75">
        <f>H34*0.4</f>
        <v>42662.016000000003</v>
      </c>
      <c r="E41" s="75"/>
      <c r="F41" s="75"/>
      <c r="G41" s="72"/>
      <c r="H41" s="72"/>
    </row>
    <row r="42" spans="1:10" ht="25.5" customHeight="1">
      <c r="A42" s="73"/>
      <c r="B42" s="73"/>
      <c r="C42" s="24" t="s">
        <v>57</v>
      </c>
      <c r="D42" s="75">
        <f>H34</f>
        <v>106655.04000000001</v>
      </c>
      <c r="E42" s="75"/>
      <c r="F42" s="75"/>
      <c r="G42" s="72"/>
      <c r="H42" s="72"/>
      <c r="J42" s="35"/>
    </row>
    <row r="43" spans="1:10" ht="26.25" customHeight="1">
      <c r="A43" s="64" t="s">
        <v>58</v>
      </c>
      <c r="B43" s="64"/>
      <c r="C43" s="41" t="s">
        <v>59</v>
      </c>
      <c r="D43" s="65" t="s">
        <v>60</v>
      </c>
      <c r="E43" s="65"/>
      <c r="F43" s="65"/>
      <c r="G43" s="66" t="s">
        <v>61</v>
      </c>
      <c r="H43" s="66"/>
    </row>
    <row r="44" spans="1:10" ht="19.149999999999999" customHeight="1">
      <c r="A44" s="67" t="s">
        <v>62</v>
      </c>
      <c r="B44" s="67"/>
      <c r="C44" s="68" t="s">
        <v>63</v>
      </c>
      <c r="D44" s="68"/>
      <c r="E44" s="68"/>
      <c r="F44" s="68"/>
      <c r="G44" s="69"/>
      <c r="H44" s="70"/>
    </row>
    <row r="45" spans="1:10" ht="10.15" customHeight="1">
      <c r="A45" s="56"/>
      <c r="B45" s="56"/>
      <c r="C45" s="56"/>
      <c r="D45" s="56"/>
      <c r="E45" s="56"/>
      <c r="F45" s="56"/>
      <c r="G45" s="57"/>
      <c r="H45" s="57"/>
    </row>
    <row r="46" spans="1:10" ht="62.25" customHeight="1">
      <c r="A46" s="58" t="s">
        <v>64</v>
      </c>
      <c r="B46" s="58"/>
      <c r="C46" s="59" t="s">
        <v>65</v>
      </c>
      <c r="D46" s="59"/>
      <c r="E46" s="59"/>
      <c r="F46" s="59"/>
      <c r="G46" s="59"/>
      <c r="H46" s="29"/>
    </row>
    <row r="47" spans="1:10" ht="54" hidden="1" customHeight="1">
      <c r="A47" s="58"/>
      <c r="B47" s="58"/>
      <c r="C47" s="59"/>
      <c r="D47" s="59"/>
      <c r="E47" s="59"/>
      <c r="F47" s="59"/>
      <c r="G47" s="59"/>
      <c r="H47" s="29"/>
    </row>
    <row r="48" spans="1:10" ht="42" customHeight="1">
      <c r="A48" s="58"/>
      <c r="B48" s="58"/>
      <c r="C48" s="59" t="s">
        <v>66</v>
      </c>
      <c r="D48" s="59"/>
      <c r="E48" s="59"/>
      <c r="F48" s="59"/>
      <c r="G48" s="59"/>
      <c r="H48" s="29"/>
    </row>
    <row r="49" spans="1:8" ht="67.150000000000006" hidden="1" customHeight="1">
      <c r="A49" s="58"/>
      <c r="B49" s="58"/>
      <c r="C49" s="59" t="s">
        <v>67</v>
      </c>
      <c r="D49" s="59"/>
      <c r="E49" s="59"/>
      <c r="F49" s="59"/>
      <c r="G49" s="59"/>
      <c r="H49" s="29"/>
    </row>
    <row r="50" spans="1:8" ht="42" customHeight="1">
      <c r="A50" s="58"/>
      <c r="B50" s="58"/>
      <c r="C50" s="60" t="s">
        <v>68</v>
      </c>
      <c r="D50" s="61"/>
      <c r="E50" s="61"/>
      <c r="F50" s="61"/>
      <c r="G50" s="62"/>
      <c r="H50" s="29"/>
    </row>
    <row r="51" spans="1:8" ht="33.75" customHeight="1">
      <c r="A51" s="58"/>
      <c r="B51" s="58"/>
      <c r="C51" s="59" t="s">
        <v>69</v>
      </c>
      <c r="D51" s="59"/>
      <c r="E51" s="59"/>
      <c r="F51" s="59"/>
      <c r="G51" s="59"/>
      <c r="H51" s="29"/>
    </row>
    <row r="52" spans="1:8" ht="102" hidden="1" customHeight="1">
      <c r="A52" s="58"/>
      <c r="B52" s="58"/>
      <c r="C52" s="59" t="s">
        <v>70</v>
      </c>
      <c r="D52" s="59"/>
      <c r="E52" s="59"/>
      <c r="F52" s="59"/>
      <c r="G52" s="59"/>
      <c r="H52" s="29"/>
    </row>
    <row r="53" spans="1:8" ht="115.9" customHeight="1">
      <c r="A53" s="58"/>
      <c r="B53" s="58"/>
      <c r="C53" s="63" t="s">
        <v>71</v>
      </c>
      <c r="D53" s="63"/>
      <c r="E53" s="63"/>
      <c r="F53" s="63"/>
      <c r="G53" s="63"/>
      <c r="H53" s="29"/>
    </row>
    <row r="54" spans="1:8" ht="31.15" customHeight="1">
      <c r="A54" s="58"/>
      <c r="B54" s="58"/>
      <c r="C54" s="63" t="s">
        <v>72</v>
      </c>
      <c r="D54" s="63"/>
      <c r="E54" s="63"/>
      <c r="F54" s="63"/>
      <c r="G54" s="63"/>
      <c r="H54" s="29"/>
    </row>
    <row r="55" spans="1:8" ht="7.9" customHeight="1">
      <c r="A55" s="49"/>
      <c r="B55" s="49"/>
      <c r="C55" s="49"/>
      <c r="D55" s="49"/>
      <c r="E55" s="49"/>
      <c r="F55" s="49"/>
      <c r="G55" s="49"/>
      <c r="H55" s="49"/>
    </row>
    <row r="56" spans="1:8" ht="15.75" customHeight="1">
      <c r="A56" s="49"/>
      <c r="B56" s="49"/>
      <c r="C56" s="49"/>
      <c r="D56" s="49"/>
      <c r="E56" s="49"/>
      <c r="F56" s="49"/>
      <c r="G56" s="49"/>
      <c r="H56" s="49"/>
    </row>
    <row r="57" spans="1:8" ht="2.25" customHeight="1">
      <c r="A57" s="49"/>
      <c r="B57" s="49"/>
      <c r="C57" s="49"/>
      <c r="D57" s="49"/>
      <c r="E57" s="49"/>
      <c r="F57" s="49"/>
      <c r="G57" s="49"/>
      <c r="H57" s="49"/>
    </row>
    <row r="58" spans="1:8" ht="13.5" hidden="1" customHeight="1">
      <c r="A58" s="49"/>
      <c r="B58" s="49"/>
      <c r="C58" s="49"/>
      <c r="D58" s="49"/>
      <c r="E58" s="49"/>
      <c r="F58" s="49"/>
      <c r="G58" s="49"/>
      <c r="H58" s="49"/>
    </row>
    <row r="59" spans="1:8" ht="43.5" hidden="1" customHeight="1">
      <c r="A59" s="49"/>
      <c r="B59" s="49"/>
      <c r="C59" s="49"/>
      <c r="D59" s="49"/>
      <c r="E59" s="49"/>
      <c r="F59" s="49"/>
      <c r="G59" s="49"/>
      <c r="H59" s="49"/>
    </row>
    <row r="60" spans="1:8" ht="18">
      <c r="A60" s="50" t="s">
        <v>73</v>
      </c>
      <c r="B60" s="51"/>
      <c r="C60" s="51"/>
      <c r="D60" s="51"/>
      <c r="E60" s="51"/>
      <c r="F60" s="51"/>
      <c r="G60" s="51"/>
      <c r="H60" s="52"/>
    </row>
    <row r="61" spans="1:8">
      <c r="A61" s="53" t="s">
        <v>74</v>
      </c>
      <c r="B61" s="54"/>
      <c r="C61" s="54"/>
      <c r="D61" s="54"/>
      <c r="E61" s="54"/>
      <c r="F61" s="54"/>
      <c r="G61" s="54"/>
      <c r="H61" s="55"/>
    </row>
  </sheetData>
  <mergeCells count="75">
    <mergeCell ref="C12:F12"/>
    <mergeCell ref="G12:G13"/>
    <mergeCell ref="H12:H13"/>
    <mergeCell ref="A55:H55"/>
    <mergeCell ref="A56:H59"/>
    <mergeCell ref="A43:B43"/>
    <mergeCell ref="D43:F43"/>
    <mergeCell ref="G43:H43"/>
    <mergeCell ref="A44:B44"/>
    <mergeCell ref="C44:F44"/>
    <mergeCell ref="G44:H44"/>
    <mergeCell ref="A39:B39"/>
    <mergeCell ref="C39:F39"/>
    <mergeCell ref="G39:H42"/>
    <mergeCell ref="A40:B42"/>
    <mergeCell ref="D40:F40"/>
    <mergeCell ref="A60:H60"/>
    <mergeCell ref="A61:H61"/>
    <mergeCell ref="A45:H45"/>
    <mergeCell ref="A46:B54"/>
    <mergeCell ref="C46:G46"/>
    <mergeCell ref="C47:G47"/>
    <mergeCell ref="C48:G48"/>
    <mergeCell ref="C49:G49"/>
    <mergeCell ref="C50:G50"/>
    <mergeCell ref="C51:G51"/>
    <mergeCell ref="C52:G52"/>
    <mergeCell ref="C53:G53"/>
    <mergeCell ref="C54:G54"/>
    <mergeCell ref="D41:F41"/>
    <mergeCell ref="D42:F42"/>
    <mergeCell ref="A35:H35"/>
    <mergeCell ref="A36:H36"/>
    <mergeCell ref="A37:H37"/>
    <mergeCell ref="A38:B38"/>
    <mergeCell ref="C38:F38"/>
    <mergeCell ref="G38:H38"/>
    <mergeCell ref="A25:H25"/>
    <mergeCell ref="A26:H26"/>
    <mergeCell ref="A27:H27"/>
    <mergeCell ref="A28:F30"/>
    <mergeCell ref="A31:B34"/>
    <mergeCell ref="C31:F34"/>
    <mergeCell ref="C24:F24"/>
    <mergeCell ref="A13:F13"/>
    <mergeCell ref="C14:F14"/>
    <mergeCell ref="A15:H15"/>
    <mergeCell ref="C16:F16"/>
    <mergeCell ref="A17:H17"/>
    <mergeCell ref="A18:H18"/>
    <mergeCell ref="C19:F19"/>
    <mergeCell ref="C20:F20"/>
    <mergeCell ref="C21:F21"/>
    <mergeCell ref="C22:F22"/>
    <mergeCell ref="C23:F23"/>
    <mergeCell ref="A7:H7"/>
    <mergeCell ref="A8:H8"/>
    <mergeCell ref="C9:F9"/>
    <mergeCell ref="A10:A11"/>
    <mergeCell ref="B10:B11"/>
    <mergeCell ref="C10:F11"/>
    <mergeCell ref="G10:G11"/>
    <mergeCell ref="H10:H11"/>
    <mergeCell ref="A4:B4"/>
    <mergeCell ref="C4:H4"/>
    <mergeCell ref="A5:B5"/>
    <mergeCell ref="C5:H5"/>
    <mergeCell ref="A6:B6"/>
    <mergeCell ref="C6:F6"/>
    <mergeCell ref="A1:B1"/>
    <mergeCell ref="C1:F1"/>
    <mergeCell ref="G1:H1"/>
    <mergeCell ref="C2:F2"/>
    <mergeCell ref="A3:B3"/>
    <mergeCell ref="C3:H3"/>
  </mergeCells>
  <hyperlinks>
    <hyperlink ref="H6" r:id="rId1" xr:uid="{5BA78FC4-AB15-40A1-8268-796FE1431AE6}"/>
  </hyperlinks>
  <printOptions horizontalCentered="1"/>
  <pageMargins left="3.937007874015748E-2" right="3.937007874015748E-2" top="0.35433070866141736" bottom="0.35433070866141736" header="0.31496062992125984" footer="0.31496062992125984"/>
  <pageSetup scale="62" fitToHeight="0" orientation="portrait" r:id="rId2"/>
  <rowBreaks count="1" manualBreakCount="1">
    <brk id="61"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3F996-457C-4DB7-891E-C1B6820EC4ED}">
  <dimension ref="A1:R61"/>
  <sheetViews>
    <sheetView tabSelected="1" view="pageBreakPreview" topLeftCell="A36" zoomScale="80" zoomScaleNormal="80" zoomScaleSheetLayoutView="80" workbookViewId="0">
      <selection activeCell="C54" sqref="C54:G54"/>
    </sheetView>
  </sheetViews>
  <sheetFormatPr defaultColWidth="11.28515625" defaultRowHeight="12.75"/>
  <cols>
    <col min="1" max="2" width="16.28515625" style="11" customWidth="1"/>
    <col min="3" max="3" width="31.5703125" style="11" customWidth="1"/>
    <col min="4" max="5" width="16" style="11" customWidth="1"/>
    <col min="6" max="6" width="9.140625" style="11" customWidth="1"/>
    <col min="7" max="7" width="23.5703125" style="12" customWidth="1"/>
    <col min="8" max="8" width="29" style="12" customWidth="1"/>
    <col min="9" max="9" width="17.5703125" style="11" customWidth="1"/>
    <col min="10" max="10" width="17.42578125" style="11" customWidth="1"/>
    <col min="11" max="11" width="18.85546875" style="11" customWidth="1"/>
    <col min="12" max="17" width="11.28515625" style="11"/>
    <col min="18" max="18" width="16.28515625" style="11" customWidth="1"/>
    <col min="19" max="16384" width="11.28515625" style="11"/>
  </cols>
  <sheetData>
    <row r="1" spans="1:18" ht="102" customHeight="1">
      <c r="A1" s="56"/>
      <c r="B1" s="56"/>
      <c r="C1" s="129" t="s">
        <v>0</v>
      </c>
      <c r="D1" s="130"/>
      <c r="E1" s="130"/>
      <c r="F1" s="130"/>
      <c r="G1" s="69"/>
      <c r="H1" s="69"/>
    </row>
    <row r="2" spans="1:18" ht="25.15" customHeight="1">
      <c r="A2" s="37" t="s">
        <v>1</v>
      </c>
      <c r="B2" s="13">
        <f ca="1">TODAY()</f>
        <v>46320</v>
      </c>
      <c r="C2" s="131"/>
      <c r="D2" s="131"/>
      <c r="E2" s="131"/>
      <c r="F2" s="131"/>
      <c r="G2" s="14" t="s">
        <v>2</v>
      </c>
      <c r="H2" s="25" t="s">
        <v>75</v>
      </c>
    </row>
    <row r="3" spans="1:18" ht="25.15" customHeight="1">
      <c r="A3" s="64" t="s">
        <v>4</v>
      </c>
      <c r="B3" s="64"/>
      <c r="C3" s="127" t="s">
        <v>5</v>
      </c>
      <c r="D3" s="127"/>
      <c r="E3" s="127"/>
      <c r="F3" s="127"/>
      <c r="G3" s="127"/>
      <c r="H3" s="127"/>
    </row>
    <row r="4" spans="1:18" ht="36.75" customHeight="1">
      <c r="A4" s="64" t="s">
        <v>6</v>
      </c>
      <c r="B4" s="64"/>
      <c r="C4" s="124" t="s">
        <v>76</v>
      </c>
      <c r="D4" s="125"/>
      <c r="E4" s="125"/>
      <c r="F4" s="125"/>
      <c r="G4" s="125"/>
      <c r="H4" s="126"/>
    </row>
    <row r="5" spans="1:18" ht="25.15" customHeight="1">
      <c r="A5" s="64" t="s">
        <v>8</v>
      </c>
      <c r="B5" s="64"/>
      <c r="C5" s="127" t="s">
        <v>9</v>
      </c>
      <c r="D5" s="127"/>
      <c r="E5" s="127"/>
      <c r="F5" s="127"/>
      <c r="G5" s="127"/>
      <c r="H5" s="127"/>
    </row>
    <row r="6" spans="1:18" ht="15.75">
      <c r="A6" s="64" t="s">
        <v>10</v>
      </c>
      <c r="B6" s="64"/>
      <c r="C6" s="128" t="s">
        <v>11</v>
      </c>
      <c r="D6" s="128"/>
      <c r="E6" s="128"/>
      <c r="F6" s="128"/>
      <c r="G6" s="44" t="s">
        <v>10</v>
      </c>
      <c r="H6" s="40" t="s">
        <v>12</v>
      </c>
    </row>
    <row r="7" spans="1:18" ht="15.75">
      <c r="A7" s="109"/>
      <c r="B7" s="109"/>
      <c r="C7" s="109"/>
      <c r="D7" s="109"/>
      <c r="E7" s="109"/>
      <c r="F7" s="109"/>
      <c r="G7" s="109"/>
      <c r="H7" s="109"/>
    </row>
    <row r="8" spans="1:18" s="7" customFormat="1" ht="34.5" customHeight="1">
      <c r="A8" s="113" t="s">
        <v>13</v>
      </c>
      <c r="B8" s="113"/>
      <c r="C8" s="113"/>
      <c r="D8" s="113"/>
      <c r="E8" s="113"/>
      <c r="F8" s="113"/>
      <c r="G8" s="113"/>
      <c r="H8" s="113"/>
      <c r="R8" s="45" t="s">
        <v>14</v>
      </c>
    </row>
    <row r="9" spans="1:18" s="8" customFormat="1" ht="15">
      <c r="A9" s="38" t="s">
        <v>15</v>
      </c>
      <c r="B9" s="15" t="s">
        <v>16</v>
      </c>
      <c r="C9" s="112" t="s">
        <v>17</v>
      </c>
      <c r="D9" s="112"/>
      <c r="E9" s="112"/>
      <c r="F9" s="112"/>
      <c r="G9" s="16" t="s">
        <v>18</v>
      </c>
      <c r="H9" s="16" t="s">
        <v>14</v>
      </c>
      <c r="J9" s="8" t="s">
        <v>19</v>
      </c>
      <c r="K9" s="8" t="s">
        <v>20</v>
      </c>
      <c r="L9" s="8" t="s">
        <v>21</v>
      </c>
      <c r="N9" s="8" t="s">
        <v>22</v>
      </c>
      <c r="R9" s="8">
        <v>240</v>
      </c>
    </row>
    <row r="10" spans="1:18" s="9" customFormat="1" ht="25.9" hidden="1" customHeight="1">
      <c r="A10" s="114">
        <v>1</v>
      </c>
      <c r="B10" s="116" t="s">
        <v>23</v>
      </c>
      <c r="C10" s="118" t="s">
        <v>24</v>
      </c>
      <c r="D10" s="119"/>
      <c r="E10" s="119"/>
      <c r="F10" s="120"/>
      <c r="G10" s="102">
        <v>0</v>
      </c>
      <c r="H10" s="104">
        <f>G10*A10</f>
        <v>0</v>
      </c>
      <c r="J10" s="9">
        <v>70.8</v>
      </c>
      <c r="K10" s="30">
        <v>0.1</v>
      </c>
      <c r="L10" s="9">
        <f>J10*K10</f>
        <v>7.08</v>
      </c>
      <c r="N10" s="9">
        <f>J10+L10</f>
        <v>77.88</v>
      </c>
    </row>
    <row r="11" spans="1:18" s="9" customFormat="1" ht="40.5" hidden="1" customHeight="1">
      <c r="A11" s="115"/>
      <c r="B11" s="117"/>
      <c r="C11" s="121"/>
      <c r="D11" s="122"/>
      <c r="E11" s="122"/>
      <c r="F11" s="123"/>
      <c r="G11" s="103"/>
      <c r="H11" s="105"/>
      <c r="J11" s="9">
        <v>144.26</v>
      </c>
      <c r="K11" s="30">
        <v>0.05</v>
      </c>
      <c r="L11" s="9">
        <f t="shared" ref="L11" si="0">J11*K11</f>
        <v>7.2130000000000001</v>
      </c>
      <c r="N11" s="9">
        <f>J11+L11</f>
        <v>151.47299999999998</v>
      </c>
    </row>
    <row r="12" spans="1:18" s="9" customFormat="1" ht="60" customHeight="1">
      <c r="A12" s="46">
        <v>609.20000000000005</v>
      </c>
      <c r="B12" s="42" t="s">
        <v>25</v>
      </c>
      <c r="C12" s="99" t="s">
        <v>77</v>
      </c>
      <c r="D12" s="100"/>
      <c r="E12" s="100"/>
      <c r="F12" s="101"/>
      <c r="G12" s="102">
        <v>240</v>
      </c>
      <c r="H12" s="104">
        <f>G12*A12</f>
        <v>146208</v>
      </c>
      <c r="K12" s="30"/>
    </row>
    <row r="13" spans="1:18" s="9" customFormat="1" ht="45" hidden="1" customHeight="1">
      <c r="A13" s="106" t="s">
        <v>27</v>
      </c>
      <c r="B13" s="107"/>
      <c r="C13" s="107"/>
      <c r="D13" s="107"/>
      <c r="E13" s="107"/>
      <c r="F13" s="107"/>
      <c r="G13" s="103"/>
      <c r="H13" s="105"/>
      <c r="K13" s="30"/>
      <c r="N13" s="9">
        <f>N10+N11</f>
        <v>229.35299999999998</v>
      </c>
    </row>
    <row r="14" spans="1:18" s="10" customFormat="1" ht="15.75">
      <c r="A14" s="17">
        <f>A12</f>
        <v>609.20000000000005</v>
      </c>
      <c r="B14" s="36" t="s">
        <v>28</v>
      </c>
      <c r="C14" s="108"/>
      <c r="D14" s="108"/>
      <c r="E14" s="108"/>
      <c r="F14" s="108"/>
      <c r="G14" s="36" t="s">
        <v>29</v>
      </c>
      <c r="H14" s="31">
        <f>SUM(H10:H13)</f>
        <v>146208</v>
      </c>
      <c r="K14" s="30"/>
      <c r="L14" s="9"/>
      <c r="N14" s="9"/>
    </row>
    <row r="15" spans="1:18" s="10" customFormat="1" ht="15.75">
      <c r="A15" s="109"/>
      <c r="B15" s="109"/>
      <c r="C15" s="109"/>
      <c r="D15" s="109"/>
      <c r="E15" s="109"/>
      <c r="F15" s="109"/>
      <c r="G15" s="109"/>
      <c r="H15" s="109"/>
      <c r="K15" s="30"/>
      <c r="L15" s="9"/>
      <c r="N15" s="9"/>
    </row>
    <row r="16" spans="1:18" s="7" customFormat="1" ht="22.15" customHeight="1">
      <c r="A16" s="18">
        <f>A14</f>
        <v>609.20000000000005</v>
      </c>
      <c r="B16" s="39" t="s">
        <v>28</v>
      </c>
      <c r="C16" s="110" t="s">
        <v>30</v>
      </c>
      <c r="D16" s="110"/>
      <c r="E16" s="110"/>
      <c r="F16" s="110"/>
      <c r="G16" s="39"/>
      <c r="H16" s="32">
        <f>H14</f>
        <v>146208</v>
      </c>
    </row>
    <row r="17" spans="1:16" s="7" customFormat="1">
      <c r="A17" s="84"/>
      <c r="B17" s="84"/>
      <c r="C17" s="84"/>
      <c r="D17" s="84"/>
      <c r="E17" s="84"/>
      <c r="F17" s="84"/>
      <c r="G17" s="84"/>
      <c r="H17" s="84"/>
      <c r="P17" s="7">
        <f>20*748</f>
        <v>14960</v>
      </c>
    </row>
    <row r="18" spans="1:16" s="7" customFormat="1" ht="18" hidden="1">
      <c r="A18" s="111" t="s">
        <v>31</v>
      </c>
      <c r="B18" s="111"/>
      <c r="C18" s="111"/>
      <c r="D18" s="111"/>
      <c r="E18" s="111"/>
      <c r="F18" s="111"/>
      <c r="G18" s="111"/>
      <c r="H18" s="111"/>
    </row>
    <row r="19" spans="1:16" s="7" customFormat="1" ht="15" hidden="1">
      <c r="A19" s="38" t="s">
        <v>15</v>
      </c>
      <c r="B19" s="15" t="s">
        <v>16</v>
      </c>
      <c r="C19" s="112" t="s">
        <v>17</v>
      </c>
      <c r="D19" s="112"/>
      <c r="E19" s="112"/>
      <c r="F19" s="112"/>
      <c r="G19" s="16" t="s">
        <v>18</v>
      </c>
      <c r="H19" s="16" t="s">
        <v>14</v>
      </c>
    </row>
    <row r="20" spans="1:16" s="7" customFormat="1" ht="65.099999999999994" hidden="1" customHeight="1">
      <c r="A20" s="19">
        <v>0</v>
      </c>
      <c r="B20" s="19" t="s">
        <v>32</v>
      </c>
      <c r="C20" s="98" t="s">
        <v>33</v>
      </c>
      <c r="D20" s="98"/>
      <c r="E20" s="98"/>
      <c r="F20" s="98"/>
      <c r="G20" s="20">
        <v>270</v>
      </c>
      <c r="H20" s="26">
        <f>A20*G20</f>
        <v>0</v>
      </c>
    </row>
    <row r="21" spans="1:16" s="7" customFormat="1" ht="51" hidden="1" customHeight="1">
      <c r="A21" s="19">
        <v>0</v>
      </c>
      <c r="B21" s="19" t="s">
        <v>32</v>
      </c>
      <c r="C21" s="98" t="s">
        <v>34</v>
      </c>
      <c r="D21" s="98"/>
      <c r="E21" s="98"/>
      <c r="F21" s="98"/>
      <c r="G21" s="20">
        <v>270</v>
      </c>
      <c r="H21" s="26">
        <f>A21*G21</f>
        <v>0</v>
      </c>
    </row>
    <row r="22" spans="1:16" s="7" customFormat="1" ht="51.75" hidden="1" customHeight="1">
      <c r="A22" s="19">
        <v>0</v>
      </c>
      <c r="B22" s="19" t="s">
        <v>23</v>
      </c>
      <c r="C22" s="77" t="s">
        <v>35</v>
      </c>
      <c r="D22" s="78"/>
      <c r="E22" s="78"/>
      <c r="F22" s="79"/>
      <c r="G22" s="20">
        <v>4500</v>
      </c>
      <c r="H22" s="26">
        <f>A22*G22</f>
        <v>0</v>
      </c>
    </row>
    <row r="23" spans="1:16" s="7" customFormat="1" ht="51.75" hidden="1" customHeight="1">
      <c r="A23" s="19">
        <v>0</v>
      </c>
      <c r="B23" s="19" t="s">
        <v>23</v>
      </c>
      <c r="C23" s="80" t="s">
        <v>36</v>
      </c>
      <c r="D23" s="81"/>
      <c r="E23" s="81"/>
      <c r="F23" s="82"/>
      <c r="G23" s="20">
        <v>5450</v>
      </c>
      <c r="H23" s="26">
        <f>G23*A23</f>
        <v>0</v>
      </c>
    </row>
    <row r="24" spans="1:16" s="7" customFormat="1" ht="15.75" hidden="1">
      <c r="A24" s="39"/>
      <c r="B24" s="21" t="s">
        <v>22</v>
      </c>
      <c r="C24" s="83"/>
      <c r="D24" s="83"/>
      <c r="E24" s="83"/>
      <c r="F24" s="83"/>
      <c r="G24" s="22" t="s">
        <v>37</v>
      </c>
      <c r="H24" s="27">
        <f>SUM(H20:H23)</f>
        <v>0</v>
      </c>
    </row>
    <row r="25" spans="1:16" s="7" customFormat="1" hidden="1">
      <c r="A25" s="84"/>
      <c r="B25" s="84"/>
      <c r="C25" s="84"/>
      <c r="D25" s="84"/>
      <c r="E25" s="84"/>
      <c r="F25" s="84"/>
      <c r="G25" s="84"/>
      <c r="H25" s="84"/>
    </row>
    <row r="26" spans="1:16" s="7" customFormat="1" ht="15" customHeight="1">
      <c r="A26" s="85" t="s">
        <v>38</v>
      </c>
      <c r="B26" s="85"/>
      <c r="C26" s="85"/>
      <c r="D26" s="85"/>
      <c r="E26" s="85"/>
      <c r="F26" s="85"/>
      <c r="G26" s="85"/>
      <c r="H26" s="85"/>
    </row>
    <row r="27" spans="1:16" s="7" customFormat="1" ht="1.5" customHeight="1">
      <c r="A27" s="86"/>
      <c r="B27" s="86"/>
      <c r="C27" s="86"/>
      <c r="D27" s="86"/>
      <c r="E27" s="86"/>
      <c r="F27" s="86"/>
      <c r="G27" s="86"/>
      <c r="H27" s="86"/>
    </row>
    <row r="28" spans="1:16" ht="28.15" customHeight="1">
      <c r="A28" s="87" t="s">
        <v>39</v>
      </c>
      <c r="B28" s="88"/>
      <c r="C28" s="88"/>
      <c r="D28" s="88"/>
      <c r="E28" s="88"/>
      <c r="F28" s="89"/>
      <c r="G28" s="23" t="s">
        <v>37</v>
      </c>
      <c r="H28" s="2">
        <f>H16</f>
        <v>146208</v>
      </c>
      <c r="J28" s="33">
        <v>316883.40000000002</v>
      </c>
    </row>
    <row r="29" spans="1:16" ht="28.15" hidden="1" customHeight="1">
      <c r="A29" s="90"/>
      <c r="B29" s="91"/>
      <c r="C29" s="91"/>
      <c r="D29" s="91"/>
      <c r="E29" s="91"/>
      <c r="F29" s="92"/>
      <c r="G29" s="23" t="s">
        <v>40</v>
      </c>
      <c r="H29" s="2">
        <f>H28*8%</f>
        <v>11696.64</v>
      </c>
      <c r="J29" s="2"/>
    </row>
    <row r="30" spans="1:16" ht="28.15" customHeight="1">
      <c r="A30" s="93"/>
      <c r="B30" s="94"/>
      <c r="C30" s="94"/>
      <c r="D30" s="94"/>
      <c r="E30" s="94"/>
      <c r="F30" s="95"/>
      <c r="G30" s="1" t="s">
        <v>41</v>
      </c>
      <c r="H30" s="34">
        <f>H28</f>
        <v>146208</v>
      </c>
      <c r="J30" s="2">
        <f>H34-J28</f>
        <v>-136842.12000000002</v>
      </c>
    </row>
    <row r="31" spans="1:16" ht="28.15" customHeight="1">
      <c r="A31" s="96" t="s">
        <v>42</v>
      </c>
      <c r="B31" s="96"/>
      <c r="C31" s="97" t="s">
        <v>78</v>
      </c>
      <c r="D31" s="97"/>
      <c r="E31" s="97"/>
      <c r="F31" s="97"/>
      <c r="G31" s="3" t="s">
        <v>44</v>
      </c>
      <c r="H31" s="43">
        <v>9000</v>
      </c>
      <c r="J31" s="4"/>
    </row>
    <row r="32" spans="1:16" ht="28.15" customHeight="1">
      <c r="A32" s="96"/>
      <c r="B32" s="96"/>
      <c r="C32" s="97"/>
      <c r="D32" s="97"/>
      <c r="E32" s="97"/>
      <c r="F32" s="97"/>
      <c r="G32" s="1" t="s">
        <v>45</v>
      </c>
      <c r="H32" s="2">
        <f>H30+H31</f>
        <v>155208</v>
      </c>
      <c r="J32" s="2"/>
    </row>
    <row r="33" spans="1:10" ht="28.15" customHeight="1">
      <c r="A33" s="96"/>
      <c r="B33" s="96"/>
      <c r="C33" s="97"/>
      <c r="D33" s="97"/>
      <c r="E33" s="97"/>
      <c r="F33" s="97"/>
      <c r="G33" s="3" t="s">
        <v>46</v>
      </c>
      <c r="H33" s="4">
        <f>H32*0.16</f>
        <v>24833.279999999999</v>
      </c>
      <c r="J33" s="4"/>
    </row>
    <row r="34" spans="1:10" ht="28.15" customHeight="1">
      <c r="A34" s="96"/>
      <c r="B34" s="96"/>
      <c r="C34" s="97"/>
      <c r="D34" s="97"/>
      <c r="E34" s="97"/>
      <c r="F34" s="97"/>
      <c r="G34" s="5" t="s">
        <v>47</v>
      </c>
      <c r="H34" s="6">
        <f>H32+H33</f>
        <v>180041.28</v>
      </c>
      <c r="I34" s="28"/>
      <c r="J34" s="6"/>
    </row>
    <row r="35" spans="1:10">
      <c r="A35" s="56"/>
      <c r="B35" s="56"/>
      <c r="C35" s="56"/>
      <c r="D35" s="56"/>
      <c r="E35" s="56"/>
      <c r="F35" s="56"/>
      <c r="G35" s="56"/>
      <c r="H35" s="56"/>
    </row>
    <row r="36" spans="1:10" ht="19.5" customHeight="1">
      <c r="A36" s="96" t="s">
        <v>48</v>
      </c>
      <c r="B36" s="96"/>
      <c r="C36" s="96"/>
      <c r="D36" s="96"/>
      <c r="E36" s="96"/>
      <c r="F36" s="96"/>
      <c r="G36" s="96"/>
      <c r="H36" s="96"/>
    </row>
    <row r="37" spans="1:10" ht="12" customHeight="1">
      <c r="A37" s="76"/>
      <c r="B37" s="76"/>
      <c r="C37" s="76"/>
      <c r="D37" s="76"/>
      <c r="E37" s="76"/>
      <c r="F37" s="76"/>
      <c r="G37" s="76"/>
      <c r="H37" s="76"/>
    </row>
    <row r="38" spans="1:10" ht="29.25" customHeight="1">
      <c r="A38" s="67" t="s">
        <v>49</v>
      </c>
      <c r="B38" s="67"/>
      <c r="C38" s="65" t="s">
        <v>50</v>
      </c>
      <c r="D38" s="65"/>
      <c r="E38" s="65"/>
      <c r="F38" s="65"/>
      <c r="G38" s="58" t="s">
        <v>51</v>
      </c>
      <c r="H38" s="58"/>
    </row>
    <row r="39" spans="1:10" ht="19.899999999999999" customHeight="1">
      <c r="A39" s="71" t="s">
        <v>52</v>
      </c>
      <c r="B39" s="71"/>
      <c r="C39" s="65" t="s">
        <v>53</v>
      </c>
      <c r="D39" s="65"/>
      <c r="E39" s="65"/>
      <c r="F39" s="65"/>
      <c r="G39" s="69"/>
      <c r="H39" s="69"/>
    </row>
    <row r="40" spans="1:10" ht="29.25" hidden="1" customHeight="1">
      <c r="A40" s="73" t="s">
        <v>54</v>
      </c>
      <c r="B40" s="73"/>
      <c r="C40" s="24" t="s">
        <v>55</v>
      </c>
      <c r="D40" s="74">
        <f>H34*0.6</f>
        <v>108024.768</v>
      </c>
      <c r="E40" s="74"/>
      <c r="F40" s="74"/>
      <c r="G40" s="72"/>
      <c r="H40" s="72"/>
    </row>
    <row r="41" spans="1:10" ht="36" hidden="1" customHeight="1">
      <c r="A41" s="73"/>
      <c r="B41" s="73"/>
      <c r="C41" s="24" t="s">
        <v>56</v>
      </c>
      <c r="D41" s="75">
        <f>H34*0.4</f>
        <v>72016.512000000002</v>
      </c>
      <c r="E41" s="75"/>
      <c r="F41" s="75"/>
      <c r="G41" s="72"/>
      <c r="H41" s="72"/>
    </row>
    <row r="42" spans="1:10" ht="25.5" customHeight="1">
      <c r="A42" s="73"/>
      <c r="B42" s="73"/>
      <c r="C42" s="24" t="s">
        <v>57</v>
      </c>
      <c r="D42" s="75">
        <f>H34</f>
        <v>180041.28</v>
      </c>
      <c r="E42" s="75"/>
      <c r="F42" s="75"/>
      <c r="G42" s="72"/>
      <c r="H42" s="72"/>
      <c r="J42" s="35"/>
    </row>
    <row r="43" spans="1:10" ht="26.25" customHeight="1">
      <c r="A43" s="64" t="s">
        <v>58</v>
      </c>
      <c r="B43" s="64"/>
      <c r="C43" s="41" t="s">
        <v>59</v>
      </c>
      <c r="D43" s="65" t="s">
        <v>60</v>
      </c>
      <c r="E43" s="65"/>
      <c r="F43" s="65"/>
      <c r="G43" s="66" t="s">
        <v>61</v>
      </c>
      <c r="H43" s="66"/>
    </row>
    <row r="44" spans="1:10" ht="19.149999999999999" customHeight="1">
      <c r="A44" s="67" t="s">
        <v>62</v>
      </c>
      <c r="B44" s="67"/>
      <c r="C44" s="68" t="s">
        <v>63</v>
      </c>
      <c r="D44" s="68"/>
      <c r="E44" s="68"/>
      <c r="F44" s="68"/>
      <c r="G44" s="69"/>
      <c r="H44" s="70"/>
    </row>
    <row r="45" spans="1:10" ht="10.15" customHeight="1">
      <c r="A45" s="56"/>
      <c r="B45" s="56"/>
      <c r="C45" s="56"/>
      <c r="D45" s="56"/>
      <c r="E45" s="56"/>
      <c r="F45" s="56"/>
      <c r="G45" s="57"/>
      <c r="H45" s="57"/>
    </row>
    <row r="46" spans="1:10" ht="68.25" customHeight="1">
      <c r="A46" s="58" t="s">
        <v>64</v>
      </c>
      <c r="B46" s="58"/>
      <c r="C46" s="59" t="s">
        <v>79</v>
      </c>
      <c r="D46" s="59"/>
      <c r="E46" s="59"/>
      <c r="F46" s="59"/>
      <c r="G46" s="59"/>
      <c r="H46" s="29"/>
    </row>
    <row r="47" spans="1:10" ht="54" hidden="1" customHeight="1">
      <c r="A47" s="58"/>
      <c r="B47" s="58"/>
      <c r="C47" s="59"/>
      <c r="D47" s="59"/>
      <c r="E47" s="59"/>
      <c r="F47" s="59"/>
      <c r="G47" s="59"/>
      <c r="H47" s="29"/>
    </row>
    <row r="48" spans="1:10" ht="42" customHeight="1">
      <c r="A48" s="58"/>
      <c r="B48" s="58"/>
      <c r="C48" s="59" t="s">
        <v>66</v>
      </c>
      <c r="D48" s="59"/>
      <c r="E48" s="59"/>
      <c r="F48" s="59"/>
      <c r="G48" s="59"/>
      <c r="H48" s="29"/>
    </row>
    <row r="49" spans="1:8" ht="67.150000000000006" hidden="1" customHeight="1">
      <c r="A49" s="58"/>
      <c r="B49" s="58"/>
      <c r="C49" s="59" t="s">
        <v>67</v>
      </c>
      <c r="D49" s="59"/>
      <c r="E49" s="59"/>
      <c r="F49" s="59"/>
      <c r="G49" s="59"/>
      <c r="H49" s="29"/>
    </row>
    <row r="50" spans="1:8" ht="42" customHeight="1">
      <c r="A50" s="58"/>
      <c r="B50" s="58"/>
      <c r="C50" s="60" t="s">
        <v>68</v>
      </c>
      <c r="D50" s="61"/>
      <c r="E50" s="61"/>
      <c r="F50" s="61"/>
      <c r="G50" s="62"/>
      <c r="H50" s="29"/>
    </row>
    <row r="51" spans="1:8" ht="43.5" customHeight="1">
      <c r="A51" s="58"/>
      <c r="B51" s="58"/>
      <c r="C51" s="59" t="s">
        <v>69</v>
      </c>
      <c r="D51" s="59"/>
      <c r="E51" s="59"/>
      <c r="F51" s="59"/>
      <c r="G51" s="59"/>
      <c r="H51" s="29"/>
    </row>
    <row r="52" spans="1:8" ht="102" hidden="1" customHeight="1">
      <c r="A52" s="58"/>
      <c r="B52" s="58"/>
      <c r="C52" s="59" t="s">
        <v>70</v>
      </c>
      <c r="D52" s="59"/>
      <c r="E52" s="59"/>
      <c r="F52" s="59"/>
      <c r="G52" s="59"/>
      <c r="H52" s="29"/>
    </row>
    <row r="53" spans="1:8" ht="101.25" customHeight="1">
      <c r="A53" s="58"/>
      <c r="B53" s="58"/>
      <c r="C53" s="63" t="s">
        <v>71</v>
      </c>
      <c r="D53" s="63"/>
      <c r="E53" s="63"/>
      <c r="F53" s="63"/>
      <c r="G53" s="63"/>
      <c r="H53" s="29"/>
    </row>
    <row r="54" spans="1:8" ht="31.15" customHeight="1">
      <c r="A54" s="58"/>
      <c r="B54" s="58"/>
      <c r="C54" s="63" t="s">
        <v>72</v>
      </c>
      <c r="D54" s="63"/>
      <c r="E54" s="63"/>
      <c r="F54" s="63"/>
      <c r="G54" s="63"/>
      <c r="H54" s="29"/>
    </row>
    <row r="55" spans="1:8" ht="7.9" customHeight="1">
      <c r="A55" s="49"/>
      <c r="B55" s="49"/>
      <c r="C55" s="49"/>
      <c r="D55" s="49"/>
      <c r="E55" s="49"/>
      <c r="F55" s="49"/>
      <c r="G55" s="49"/>
      <c r="H55" s="49"/>
    </row>
    <row r="56" spans="1:8" ht="15.75" customHeight="1">
      <c r="A56" s="49"/>
      <c r="B56" s="49"/>
      <c r="C56" s="49"/>
      <c r="D56" s="49"/>
      <c r="E56" s="49"/>
      <c r="F56" s="49"/>
      <c r="G56" s="49"/>
      <c r="H56" s="49"/>
    </row>
    <row r="57" spans="1:8" ht="2.25" customHeight="1">
      <c r="A57" s="49"/>
      <c r="B57" s="49"/>
      <c r="C57" s="49"/>
      <c r="D57" s="49"/>
      <c r="E57" s="49"/>
      <c r="F57" s="49"/>
      <c r="G57" s="49"/>
      <c r="H57" s="49"/>
    </row>
    <row r="58" spans="1:8" ht="13.5" hidden="1" customHeight="1">
      <c r="A58" s="49"/>
      <c r="B58" s="49"/>
      <c r="C58" s="49"/>
      <c r="D58" s="49"/>
      <c r="E58" s="49"/>
      <c r="F58" s="49"/>
      <c r="G58" s="49"/>
      <c r="H58" s="49"/>
    </row>
    <row r="59" spans="1:8" ht="43.5" hidden="1" customHeight="1">
      <c r="A59" s="49"/>
      <c r="B59" s="49"/>
      <c r="C59" s="49"/>
      <c r="D59" s="49"/>
      <c r="E59" s="49"/>
      <c r="F59" s="49"/>
      <c r="G59" s="49"/>
      <c r="H59" s="49"/>
    </row>
    <row r="60" spans="1:8" ht="18">
      <c r="A60" s="50" t="s">
        <v>73</v>
      </c>
      <c r="B60" s="51"/>
      <c r="C60" s="51"/>
      <c r="D60" s="51"/>
      <c r="E60" s="51"/>
      <c r="F60" s="51"/>
      <c r="G60" s="51"/>
      <c r="H60" s="52"/>
    </row>
    <row r="61" spans="1:8">
      <c r="A61" s="53" t="s">
        <v>74</v>
      </c>
      <c r="B61" s="54"/>
      <c r="C61" s="54"/>
      <c r="D61" s="54"/>
      <c r="E61" s="54"/>
      <c r="F61" s="54"/>
      <c r="G61" s="54"/>
      <c r="H61" s="55"/>
    </row>
  </sheetData>
  <mergeCells count="75">
    <mergeCell ref="A1:B1"/>
    <mergeCell ref="C1:F1"/>
    <mergeCell ref="G1:H1"/>
    <mergeCell ref="C2:F2"/>
    <mergeCell ref="A3:B3"/>
    <mergeCell ref="C3:H3"/>
    <mergeCell ref="A4:B4"/>
    <mergeCell ref="C4:H4"/>
    <mergeCell ref="A5:B5"/>
    <mergeCell ref="C5:H5"/>
    <mergeCell ref="A6:B6"/>
    <mergeCell ref="C6:F6"/>
    <mergeCell ref="A7:H7"/>
    <mergeCell ref="A8:H8"/>
    <mergeCell ref="C9:F9"/>
    <mergeCell ref="A10:A11"/>
    <mergeCell ref="B10:B11"/>
    <mergeCell ref="C10:F11"/>
    <mergeCell ref="G10:G11"/>
    <mergeCell ref="H10:H11"/>
    <mergeCell ref="C21:F21"/>
    <mergeCell ref="C12:F12"/>
    <mergeCell ref="G12:G13"/>
    <mergeCell ref="H12:H13"/>
    <mergeCell ref="A13:F13"/>
    <mergeCell ref="C14:F14"/>
    <mergeCell ref="A15:H15"/>
    <mergeCell ref="C16:F16"/>
    <mergeCell ref="A17:H17"/>
    <mergeCell ref="A18:H18"/>
    <mergeCell ref="C19:F19"/>
    <mergeCell ref="C20:F20"/>
    <mergeCell ref="A37:H37"/>
    <mergeCell ref="C22:F22"/>
    <mergeCell ref="C23:F23"/>
    <mergeCell ref="C24:F24"/>
    <mergeCell ref="A25:H25"/>
    <mergeCell ref="A26:H26"/>
    <mergeCell ref="A27:H27"/>
    <mergeCell ref="A28:F30"/>
    <mergeCell ref="A31:B34"/>
    <mergeCell ref="C31:F34"/>
    <mergeCell ref="A35:H35"/>
    <mergeCell ref="A36:H36"/>
    <mergeCell ref="A38:B38"/>
    <mergeCell ref="C38:F38"/>
    <mergeCell ref="G38:H38"/>
    <mergeCell ref="A39:B39"/>
    <mergeCell ref="C39:F39"/>
    <mergeCell ref="G39:H42"/>
    <mergeCell ref="A40:B42"/>
    <mergeCell ref="D40:F40"/>
    <mergeCell ref="D41:F41"/>
    <mergeCell ref="D42:F42"/>
    <mergeCell ref="A43:B43"/>
    <mergeCell ref="D43:F43"/>
    <mergeCell ref="G43:H43"/>
    <mergeCell ref="A44:B44"/>
    <mergeCell ref="C44:F44"/>
    <mergeCell ref="G44:H44"/>
    <mergeCell ref="A55:H55"/>
    <mergeCell ref="A56:H59"/>
    <mergeCell ref="A60:H60"/>
    <mergeCell ref="A61:H61"/>
    <mergeCell ref="A45:H45"/>
    <mergeCell ref="A46:B54"/>
    <mergeCell ref="C46:G46"/>
    <mergeCell ref="C47:G47"/>
    <mergeCell ref="C48:G48"/>
    <mergeCell ref="C49:G49"/>
    <mergeCell ref="C50:G50"/>
    <mergeCell ref="C51:G51"/>
    <mergeCell ref="C52:G52"/>
    <mergeCell ref="C53:G53"/>
    <mergeCell ref="C54:G54"/>
  </mergeCells>
  <hyperlinks>
    <hyperlink ref="H6" r:id="rId1" xr:uid="{7A3D03A7-29C2-4FC8-962F-7D0F3C56CA6C}"/>
  </hyperlinks>
  <printOptions horizontalCentered="1"/>
  <pageMargins left="3.937007874015748E-2" right="3.937007874015748E-2" top="0.35433070866141736" bottom="0.35433070866141736" header="0.31496062992125984" footer="0.31496062992125984"/>
  <pageSetup scale="62" fitToHeight="0" orientation="portrait" r:id="rId2"/>
  <rowBreaks count="1" manualBreakCount="1">
    <brk id="61" max="16383" man="1"/>
  </rowBrea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1f0433-4340-49e3-8edc-6d054b86f571">
      <Terms xmlns="http://schemas.microsoft.com/office/infopath/2007/PartnerControls"/>
    </lcf76f155ced4ddcb4097134ff3c332f>
    <TaxCatchAll xmlns="2db42678-26b6-42c6-94f3-e76c9422a72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D5547CA2FF965A4C80EB07F287D979E7" ma:contentTypeVersion="10" ma:contentTypeDescription="Crear nuevo documento." ma:contentTypeScope="" ma:versionID="3718dd2570825cf9a196332c15bc119e">
  <xsd:schema xmlns:xsd="http://www.w3.org/2001/XMLSchema" xmlns:xs="http://www.w3.org/2001/XMLSchema" xmlns:p="http://schemas.microsoft.com/office/2006/metadata/properties" xmlns:ns2="191f0433-4340-49e3-8edc-6d054b86f571" xmlns:ns3="2db42678-26b6-42c6-94f3-e76c9422a724" targetNamespace="http://schemas.microsoft.com/office/2006/metadata/properties" ma:root="true" ma:fieldsID="a52c3a219175fc9d9ee80eaaacecf805" ns2:_="" ns3:_="">
    <xsd:import namespace="191f0433-4340-49e3-8edc-6d054b86f571"/>
    <xsd:import namespace="2db42678-26b6-42c6-94f3-e76c9422a7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1f0433-4340-49e3-8edc-6d054b86f5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a3cc70b3-40e2-4473-832f-85343e566f94"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b42678-26b6-42c6-94f3-e76c9422a72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4c1447d-af60-4db2-ada3-dd38ef464ea1}" ma:internalName="TaxCatchAll" ma:showField="CatchAllData" ma:web="2db42678-26b6-42c6-94f3-e76c9422a7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5646E3D-7785-4ED8-9EF9-BC573C81B788}"/>
</file>

<file path=customXml/itemProps2.xml><?xml version="1.0" encoding="utf-8"?>
<ds:datastoreItem xmlns:ds="http://schemas.openxmlformats.org/officeDocument/2006/customXml" ds:itemID="{594A279F-D52B-4A73-981A-0F2BAAD380E0}"/>
</file>

<file path=customXml/itemProps3.xml><?xml version="1.0" encoding="utf-8"?>
<ds:datastoreItem xmlns:ds="http://schemas.openxmlformats.org/officeDocument/2006/customXml" ds:itemID="{96CC79BE-C2D8-4515-8EFC-090C2982A8B1}"/>
</file>

<file path=docProps/app.xml><?xml version="1.0" encoding="utf-8"?>
<Properties xmlns="http://schemas.openxmlformats.org/officeDocument/2006/extended-properties" xmlns:vt="http://schemas.openxmlformats.org/officeDocument/2006/docPropsVTypes">
  <Application>Microsoft Excel Online</Application>
  <Manager/>
  <Company>Final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carlosmora</dc:creator>
  <cp:keywords/>
  <dc:description/>
  <cp:lastModifiedBy>Arlex Cardona</cp:lastModifiedBy>
  <cp:revision/>
  <dcterms:created xsi:type="dcterms:W3CDTF">2007-05-28T21:44:00Z</dcterms:created>
  <dcterms:modified xsi:type="dcterms:W3CDTF">2026-10-25T17:56:28Z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1230F21AF6E3440A9402D46F4D433D26_13</vt:lpwstr>
  </property>
  <property fmtid="{D5CDD505-2E9C-101B-9397-08002B2CF9AE}" pid="3" name="KSOProductBuildVer">
    <vt:lpwstr>2058-12.2.0.17119</vt:lpwstr>
  </property>
  <property fmtid="{D5CDD505-2E9C-101B-9397-08002B2CF9AE}" pid="4" name="ContentTypeId">
    <vt:lpwstr>0x010100D5547CA2FF965A4C80EB07F287D979E7</vt:lpwstr>
  </property>
  <property fmtid="{D5CDD505-2E9C-101B-9397-08002B2CF9AE}" pid="5" name="MediaServiceImageTags">
    <vt:lpwstr/>
  </property>
</Properties>
</file>