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CMR\Downloads\283-EG ARQUITEKTOS-CAMERSI-EQUIPO NUEVO-28-10-26\3.COTIZACION - AREAS\CTZ OCTUBRE 2026\COTIZACIONES ANDMAIAJE BASICO\"/>
    </mc:Choice>
  </mc:AlternateContent>
  <xr:revisionPtr revIDLastSave="0" documentId="13_ncr:1_{D88815F8-1CBF-4FFC-95A8-D7A978CF4634}" xr6:coauthVersionLast="36" xr6:coauthVersionMax="36" xr10:uidLastSave="{00000000-0000-0000-0000-000000000000}"/>
  <bookViews>
    <workbookView xWindow="0" yWindow="0" windowWidth="28800" windowHeight="11025" tabRatio="770" firstSheet="8" activeTab="12" xr2:uid="{00000000-000D-0000-FFFF-FFFF00000000}"/>
  </bookViews>
  <sheets>
    <sheet name="CTZ 283-1 DUPLX+ADC COM 1000" sheetId="56" r:id="rId1"/>
    <sheet name="CTZ 283-2 DUPLX+ADC COM 500" sheetId="116" r:id="rId2"/>
    <sheet name="CTZ 283-3 DUPLxNIV COM 1000" sheetId="117" r:id="rId3"/>
    <sheet name="CTZ 283-4 DUPLxNIV COM 500 " sheetId="118" r:id="rId4"/>
    <sheet name="CTZ 283-5 3DUP+add un COM 1000" sheetId="120" r:id="rId5"/>
    <sheet name="CTZ 283-6 3DUP+add un COM 500" sheetId="121" r:id="rId6"/>
    <sheet name="Hoja5" sheetId="119" r:id="rId7"/>
    <sheet name="CTZ 283-7 DUPLX+ADC BAS 1000" sheetId="122" r:id="rId8"/>
    <sheet name="CTZ 283-8 DUPLX+ADC BAS 500" sheetId="123" r:id="rId9"/>
    <sheet name="CTZ 283-9 DUPLxNIV BAS 1000 " sheetId="124" r:id="rId10"/>
    <sheet name="CTZ 283-10 DUPLxNIV BAS 500" sheetId="125" r:id="rId11"/>
    <sheet name="CTZ 283-11 3DUP+add un bas 1000" sheetId="126" r:id="rId12"/>
    <sheet name="CTZ 283-12 3DUP+add un BAS 500" sheetId="127" r:id="rId13"/>
  </sheets>
  <externalReferences>
    <externalReference r:id="rId14"/>
  </externalReferences>
  <definedNames>
    <definedName name="_xlnm.Print_Area" localSheetId="0">'CTZ 283-1 DUPLX+ADC COM 1000'!$A$1:$H$100</definedName>
    <definedName name="_xlnm.Print_Area" localSheetId="10">'CTZ 283-10 DUPLxNIV BAS 500'!$A$1:$H$186</definedName>
    <definedName name="_xlnm.Print_Area" localSheetId="11">'CTZ 283-11 3DUP+add un bas 1000'!$A$1:$H$173</definedName>
    <definedName name="_xlnm.Print_Area" localSheetId="12">'CTZ 283-12 3DUP+add un BAS 500'!$A$1:$H$173</definedName>
    <definedName name="_xlnm.Print_Area" localSheetId="1">'CTZ 283-2 DUPLX+ADC COM 500'!$A$1:$H$100</definedName>
    <definedName name="_xlnm.Print_Area" localSheetId="2">'CTZ 283-3 DUPLxNIV COM 1000'!$A$1:$H$186</definedName>
    <definedName name="_xlnm.Print_Area" localSheetId="3">'CTZ 283-4 DUPLxNIV COM 500 '!$A$1:$H$186</definedName>
    <definedName name="_xlnm.Print_Area" localSheetId="4">'CTZ 283-5 3DUP+add un COM 1000'!$A$1:$H$173</definedName>
    <definedName name="_xlnm.Print_Area" localSheetId="5">'CTZ 283-6 3DUP+add un COM 500'!$A$1:$H$173</definedName>
    <definedName name="_xlnm.Print_Area" localSheetId="7">'CTZ 283-7 DUPLX+ADC BAS 1000'!$A$1:$H$100</definedName>
    <definedName name="_xlnm.Print_Area" localSheetId="8">'CTZ 283-8 DUPLX+ADC BAS 500'!$A$1:$H$100</definedName>
    <definedName name="_xlnm.Print_Area" localSheetId="9">'CTZ 283-9 DUPLxNIV BAS 1000 '!$A$1:$H$186</definedName>
    <definedName name="_xlnm.Print_Titles" localSheetId="0">'CTZ 283-1 DUPLX+ADC COM 1000'!$A:$H,'CTZ 283-1 DUPLX+ADC COM 1000'!$1:$7</definedName>
    <definedName name="_xlnm.Print_Titles" localSheetId="10">'CTZ 283-10 DUPLxNIV BAS 500'!$A:$H,'CTZ 283-10 DUPLxNIV BAS 500'!$1:$7</definedName>
    <definedName name="_xlnm.Print_Titles" localSheetId="11">'CTZ 283-11 3DUP+add un bas 1000'!$A:$H,'CTZ 283-11 3DUP+add un bas 1000'!$1:$7</definedName>
    <definedName name="_xlnm.Print_Titles" localSheetId="12">'CTZ 283-12 3DUP+add un BAS 500'!$A:$H,'CTZ 283-12 3DUP+add un BAS 500'!$1:$7</definedName>
    <definedName name="_xlnm.Print_Titles" localSheetId="1">'CTZ 283-2 DUPLX+ADC COM 500'!$A:$H,'CTZ 283-2 DUPLX+ADC COM 500'!$1:$7</definedName>
    <definedName name="_xlnm.Print_Titles" localSheetId="2">'CTZ 283-3 DUPLxNIV COM 1000'!$A:$H,'CTZ 283-3 DUPLxNIV COM 1000'!$1:$7</definedName>
    <definedName name="_xlnm.Print_Titles" localSheetId="3">'CTZ 283-4 DUPLxNIV COM 500 '!$A:$H,'CTZ 283-4 DUPLxNIV COM 500 '!$1:$7</definedName>
    <definedName name="_xlnm.Print_Titles" localSheetId="4">'CTZ 283-5 3DUP+add un COM 1000'!$A:$H,'CTZ 283-5 3DUP+add un COM 1000'!$1:$7</definedName>
    <definedName name="_xlnm.Print_Titles" localSheetId="5">'CTZ 283-6 3DUP+add un COM 500'!$A:$H,'CTZ 283-6 3DUP+add un COM 500'!$1:$7</definedName>
    <definedName name="_xlnm.Print_Titles" localSheetId="7">'CTZ 283-7 DUPLX+ADC BAS 1000'!$A:$H,'CTZ 283-7 DUPLX+ADC BAS 1000'!$1:$7</definedName>
    <definedName name="_xlnm.Print_Titles" localSheetId="8">'CTZ 283-8 DUPLX+ADC BAS 500'!$A:$H,'CTZ 283-8 DUPLX+ADC BAS 500'!$1:$7</definedName>
    <definedName name="_xlnm.Print_Titles" localSheetId="9">'CTZ 283-9 DUPLxNIV BAS 1000 '!$A:$H,'CTZ 283-9 DUPLxNIV BAS 1000 '!$1:$7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55" i="127" l="1"/>
  <c r="J150" i="127"/>
  <c r="J151" i="127" s="1"/>
  <c r="H134" i="127"/>
  <c r="H123" i="127"/>
  <c r="H122" i="127"/>
  <c r="H121" i="127"/>
  <c r="H124" i="127" s="1"/>
  <c r="K120" i="127"/>
  <c r="H116" i="127"/>
  <c r="H115" i="127"/>
  <c r="H117" i="127" s="1"/>
  <c r="H114" i="127"/>
  <c r="K113" i="127"/>
  <c r="J111" i="127"/>
  <c r="H109" i="127"/>
  <c r="H108" i="127"/>
  <c r="H107" i="127"/>
  <c r="H110" i="127" s="1"/>
  <c r="K106" i="127"/>
  <c r="J101" i="127"/>
  <c r="A101" i="127"/>
  <c r="L100" i="127"/>
  <c r="N100" i="127" s="1"/>
  <c r="H100" i="127"/>
  <c r="H101" i="127" s="1"/>
  <c r="G100" i="127"/>
  <c r="M98" i="127"/>
  <c r="O98" i="127" s="1"/>
  <c r="J94" i="127"/>
  <c r="L93" i="127"/>
  <c r="N93" i="127" s="1"/>
  <c r="A93" i="127" s="1"/>
  <c r="J89" i="127"/>
  <c r="N88" i="127"/>
  <c r="A88" i="127" s="1"/>
  <c r="L88" i="127"/>
  <c r="N87" i="127"/>
  <c r="L87" i="127"/>
  <c r="G87" i="127"/>
  <c r="H87" i="127" s="1"/>
  <c r="J79" i="127"/>
  <c r="L78" i="127"/>
  <c r="N78" i="127" s="1"/>
  <c r="A78" i="127" s="1"/>
  <c r="A79" i="127" s="1"/>
  <c r="G78" i="127"/>
  <c r="J76" i="127"/>
  <c r="J74" i="127"/>
  <c r="L73" i="127"/>
  <c r="N73" i="127" s="1"/>
  <c r="A73" i="127" s="1"/>
  <c r="G73" i="127"/>
  <c r="L72" i="127"/>
  <c r="N72" i="127" s="1"/>
  <c r="G72" i="127"/>
  <c r="H72" i="127" s="1"/>
  <c r="J66" i="127"/>
  <c r="N65" i="127"/>
  <c r="A65" i="127" s="1"/>
  <c r="L65" i="127"/>
  <c r="P64" i="127"/>
  <c r="L64" i="127"/>
  <c r="N64" i="127" s="1"/>
  <c r="A64" i="127" s="1"/>
  <c r="H64" i="127" s="1"/>
  <c r="G64" i="127"/>
  <c r="P63" i="127"/>
  <c r="L63" i="127"/>
  <c r="N63" i="127" s="1"/>
  <c r="A63" i="127" s="1"/>
  <c r="H63" i="127" s="1"/>
  <c r="G63" i="127"/>
  <c r="P62" i="127"/>
  <c r="L62" i="127"/>
  <c r="N62" i="127" s="1"/>
  <c r="G62" i="127"/>
  <c r="J56" i="127"/>
  <c r="L55" i="127"/>
  <c r="N55" i="127" s="1"/>
  <c r="A55" i="127" s="1"/>
  <c r="A56" i="127" s="1"/>
  <c r="G55" i="127"/>
  <c r="H55" i="127" s="1"/>
  <c r="H56" i="127" s="1"/>
  <c r="J53" i="127"/>
  <c r="J51" i="127"/>
  <c r="N50" i="127"/>
  <c r="L50" i="127"/>
  <c r="G50" i="127"/>
  <c r="H50" i="127" s="1"/>
  <c r="H51" i="127" s="1"/>
  <c r="A50" i="127"/>
  <c r="A51" i="127" s="1"/>
  <c r="N49" i="127"/>
  <c r="L49" i="127"/>
  <c r="G49" i="127"/>
  <c r="H49" i="127" s="1"/>
  <c r="J43" i="127"/>
  <c r="L42" i="127"/>
  <c r="N42" i="127" s="1"/>
  <c r="A42" i="127" s="1"/>
  <c r="P41" i="127"/>
  <c r="L41" i="127"/>
  <c r="N41" i="127" s="1"/>
  <c r="A41" i="127" s="1"/>
  <c r="P40" i="127"/>
  <c r="N40" i="127"/>
  <c r="L40" i="127"/>
  <c r="G40" i="127"/>
  <c r="H40" i="127" s="1"/>
  <c r="A40" i="127"/>
  <c r="P39" i="127"/>
  <c r="L39" i="127"/>
  <c r="N39" i="127" s="1"/>
  <c r="G39" i="127"/>
  <c r="N32" i="127"/>
  <c r="L32" i="127"/>
  <c r="G32" i="127"/>
  <c r="H32" i="127" s="1"/>
  <c r="H33" i="127" s="1"/>
  <c r="A32" i="127"/>
  <c r="A33" i="127" s="1"/>
  <c r="J28" i="127"/>
  <c r="N27" i="127"/>
  <c r="A27" i="127" s="1"/>
  <c r="A28" i="127" s="1"/>
  <c r="L27" i="127"/>
  <c r="G27" i="127"/>
  <c r="H27" i="127" s="1"/>
  <c r="H28" i="127" s="1"/>
  <c r="J25" i="127"/>
  <c r="J23" i="127"/>
  <c r="A23" i="127"/>
  <c r="N22" i="127"/>
  <c r="L22" i="127"/>
  <c r="G22" i="127"/>
  <c r="H22" i="127" s="1"/>
  <c r="H23" i="127" s="1"/>
  <c r="A22" i="127"/>
  <c r="L21" i="127"/>
  <c r="N21" i="127" s="1"/>
  <c r="H21" i="127"/>
  <c r="G21" i="127"/>
  <c r="J15" i="127"/>
  <c r="L14" i="127"/>
  <c r="N14" i="127" s="1"/>
  <c r="A14" i="127" s="1"/>
  <c r="P13" i="127"/>
  <c r="N13" i="127"/>
  <c r="L13" i="127"/>
  <c r="G13" i="127"/>
  <c r="A13" i="127"/>
  <c r="H13" i="127" s="1"/>
  <c r="P12" i="127"/>
  <c r="L12" i="127"/>
  <c r="N12" i="127" s="1"/>
  <c r="A12" i="127" s="1"/>
  <c r="H12" i="127" s="1"/>
  <c r="G12" i="127"/>
  <c r="P11" i="127"/>
  <c r="N11" i="127"/>
  <c r="L11" i="127"/>
  <c r="G11" i="127"/>
  <c r="H11" i="127" s="1"/>
  <c r="A11" i="127"/>
  <c r="M6" i="127"/>
  <c r="L6" i="127"/>
  <c r="B2" i="127"/>
  <c r="J155" i="126"/>
  <c r="J151" i="126"/>
  <c r="J150" i="126"/>
  <c r="H134" i="126"/>
  <c r="H123" i="126"/>
  <c r="H122" i="126"/>
  <c r="H121" i="126"/>
  <c r="H124" i="126" s="1"/>
  <c r="K120" i="126"/>
  <c r="H116" i="126"/>
  <c r="H115" i="126"/>
  <c r="H114" i="126"/>
  <c r="H117" i="126" s="1"/>
  <c r="K113" i="126"/>
  <c r="J111" i="126"/>
  <c r="H109" i="126"/>
  <c r="H108" i="126"/>
  <c r="H107" i="126"/>
  <c r="H110" i="126" s="1"/>
  <c r="K106" i="126"/>
  <c r="A101" i="126"/>
  <c r="L100" i="126"/>
  <c r="N100" i="126" s="1"/>
  <c r="H100" i="126"/>
  <c r="H101" i="126" s="1"/>
  <c r="G100" i="126"/>
  <c r="M98" i="126"/>
  <c r="O98" i="126" s="1"/>
  <c r="J94" i="126"/>
  <c r="N93" i="126"/>
  <c r="L93" i="126"/>
  <c r="A93" i="126"/>
  <c r="A94" i="126" s="1"/>
  <c r="J89" i="126"/>
  <c r="N88" i="126"/>
  <c r="A88" i="126" s="1"/>
  <c r="L88" i="126"/>
  <c r="N87" i="126"/>
  <c r="L87" i="126"/>
  <c r="G87" i="126"/>
  <c r="H87" i="126" s="1"/>
  <c r="J79" i="126"/>
  <c r="A79" i="126"/>
  <c r="N78" i="126"/>
  <c r="L78" i="126"/>
  <c r="G78" i="126"/>
  <c r="H78" i="126" s="1"/>
  <c r="H79" i="126" s="1"/>
  <c r="A78" i="126"/>
  <c r="J76" i="126"/>
  <c r="J74" i="126"/>
  <c r="L73" i="126"/>
  <c r="N73" i="126" s="1"/>
  <c r="A73" i="126" s="1"/>
  <c r="G73" i="126"/>
  <c r="L72" i="126"/>
  <c r="N72" i="126" s="1"/>
  <c r="H72" i="126"/>
  <c r="G72" i="126"/>
  <c r="J66" i="126"/>
  <c r="N65" i="126"/>
  <c r="A65" i="126" s="1"/>
  <c r="L65" i="126"/>
  <c r="P64" i="126"/>
  <c r="N64" i="126"/>
  <c r="L64" i="126"/>
  <c r="G64" i="126"/>
  <c r="A64" i="126"/>
  <c r="H64" i="126" s="1"/>
  <c r="P63" i="126"/>
  <c r="L63" i="126"/>
  <c r="N63" i="126" s="1"/>
  <c r="A63" i="126" s="1"/>
  <c r="H63" i="126" s="1"/>
  <c r="G63" i="126"/>
  <c r="P62" i="126"/>
  <c r="N62" i="126"/>
  <c r="L62" i="126"/>
  <c r="G62" i="126"/>
  <c r="H62" i="126" s="1"/>
  <c r="A62" i="126"/>
  <c r="J56" i="126"/>
  <c r="L55" i="126"/>
  <c r="N55" i="126" s="1"/>
  <c r="A55" i="126" s="1"/>
  <c r="G55" i="126"/>
  <c r="J53" i="126"/>
  <c r="J51" i="126"/>
  <c r="N50" i="126"/>
  <c r="A50" i="126" s="1"/>
  <c r="A51" i="126" s="1"/>
  <c r="L50" i="126"/>
  <c r="G50" i="126"/>
  <c r="N49" i="126"/>
  <c r="L49" i="126"/>
  <c r="G49" i="126"/>
  <c r="H49" i="126" s="1"/>
  <c r="J43" i="126"/>
  <c r="L42" i="126"/>
  <c r="N42" i="126" s="1"/>
  <c r="A42" i="126" s="1"/>
  <c r="P41" i="126"/>
  <c r="L41" i="126"/>
  <c r="N41" i="126" s="1"/>
  <c r="A41" i="126" s="1"/>
  <c r="P40" i="126"/>
  <c r="N40" i="126"/>
  <c r="L40" i="126"/>
  <c r="G40" i="126"/>
  <c r="G41" i="126" s="1"/>
  <c r="A40" i="126"/>
  <c r="H40" i="126" s="1"/>
  <c r="P39" i="126"/>
  <c r="L39" i="126"/>
  <c r="N39" i="126" s="1"/>
  <c r="G39" i="126"/>
  <c r="N32" i="126"/>
  <c r="A32" i="126" s="1"/>
  <c r="A33" i="126" s="1"/>
  <c r="L32" i="126"/>
  <c r="G32" i="126"/>
  <c r="H32" i="126" s="1"/>
  <c r="H33" i="126" s="1"/>
  <c r="J28" i="126"/>
  <c r="N27" i="126"/>
  <c r="A27" i="126" s="1"/>
  <c r="A28" i="126" s="1"/>
  <c r="L27" i="126"/>
  <c r="G27" i="126"/>
  <c r="H27" i="126" s="1"/>
  <c r="H28" i="126" s="1"/>
  <c r="J25" i="126"/>
  <c r="J23" i="126"/>
  <c r="J101" i="126" s="1"/>
  <c r="A23" i="126"/>
  <c r="N22" i="126"/>
  <c r="L22" i="126"/>
  <c r="G22" i="126"/>
  <c r="H22" i="126" s="1"/>
  <c r="H23" i="126" s="1"/>
  <c r="A22" i="126"/>
  <c r="N21" i="126"/>
  <c r="L21" i="126"/>
  <c r="H21" i="126"/>
  <c r="G21" i="126"/>
  <c r="J15" i="126"/>
  <c r="L14" i="126"/>
  <c r="N14" i="126" s="1"/>
  <c r="A14" i="126" s="1"/>
  <c r="P13" i="126"/>
  <c r="N13" i="126"/>
  <c r="A13" i="126" s="1"/>
  <c r="L13" i="126"/>
  <c r="P12" i="126"/>
  <c r="L12" i="126"/>
  <c r="N12" i="126" s="1"/>
  <c r="A12" i="126" s="1"/>
  <c r="H12" i="126" s="1"/>
  <c r="G12" i="126"/>
  <c r="G13" i="126" s="1"/>
  <c r="P11" i="126"/>
  <c r="N11" i="126"/>
  <c r="L11" i="126"/>
  <c r="G11" i="126"/>
  <c r="M6" i="126"/>
  <c r="L6" i="126"/>
  <c r="B2" i="126"/>
  <c r="J168" i="125"/>
  <c r="J163" i="125"/>
  <c r="J164" i="125" s="1"/>
  <c r="H147" i="125"/>
  <c r="H136" i="125"/>
  <c r="H135" i="125"/>
  <c r="H137" i="125" s="1"/>
  <c r="K134" i="125"/>
  <c r="H130" i="125"/>
  <c r="H129" i="125"/>
  <c r="H128" i="125"/>
  <c r="K127" i="125"/>
  <c r="H124" i="125"/>
  <c r="H123" i="125"/>
  <c r="H122" i="125"/>
  <c r="H121" i="125"/>
  <c r="K120" i="125"/>
  <c r="J118" i="125"/>
  <c r="H116" i="125"/>
  <c r="H115" i="125"/>
  <c r="H117" i="125" s="1"/>
  <c r="H114" i="125"/>
  <c r="K113" i="125"/>
  <c r="A108" i="125"/>
  <c r="N107" i="125"/>
  <c r="L107" i="125"/>
  <c r="H107" i="125"/>
  <c r="H108" i="125" s="1"/>
  <c r="G107" i="125"/>
  <c r="O105" i="125"/>
  <c r="M105" i="125"/>
  <c r="J101" i="125"/>
  <c r="L100" i="125"/>
  <c r="N100" i="125" s="1"/>
  <c r="A100" i="125" s="1"/>
  <c r="A101" i="125" s="1"/>
  <c r="G100" i="125"/>
  <c r="H100" i="125" s="1"/>
  <c r="H101" i="125" s="1"/>
  <c r="J96" i="125"/>
  <c r="L95" i="125"/>
  <c r="N95" i="125" s="1"/>
  <c r="A95" i="125" s="1"/>
  <c r="G95" i="125"/>
  <c r="N94" i="125"/>
  <c r="L94" i="125"/>
  <c r="G94" i="125"/>
  <c r="A94" i="125"/>
  <c r="L93" i="125"/>
  <c r="N93" i="125" s="1"/>
  <c r="G93" i="125"/>
  <c r="H93" i="125" s="1"/>
  <c r="J88" i="125"/>
  <c r="P87" i="125"/>
  <c r="N87" i="125"/>
  <c r="L87" i="125"/>
  <c r="H87" i="125"/>
  <c r="G87" i="125"/>
  <c r="A87" i="125"/>
  <c r="P86" i="125"/>
  <c r="N86" i="125"/>
  <c r="L86" i="125"/>
  <c r="G86" i="125"/>
  <c r="A86" i="125"/>
  <c r="H86" i="125" s="1"/>
  <c r="P85" i="125"/>
  <c r="N85" i="125"/>
  <c r="N88" i="125" s="1"/>
  <c r="L85" i="125"/>
  <c r="H85" i="125"/>
  <c r="G85" i="125"/>
  <c r="A85" i="125"/>
  <c r="A89" i="125" s="1"/>
  <c r="J79" i="125"/>
  <c r="N78" i="125"/>
  <c r="L78" i="125"/>
  <c r="G78" i="125"/>
  <c r="A78" i="125"/>
  <c r="A79" i="125" s="1"/>
  <c r="J76" i="125"/>
  <c r="J74" i="125"/>
  <c r="L73" i="125"/>
  <c r="N73" i="125" s="1"/>
  <c r="A73" i="125" s="1"/>
  <c r="A74" i="125" s="1"/>
  <c r="G73" i="125"/>
  <c r="H73" i="125" s="1"/>
  <c r="H74" i="125" s="1"/>
  <c r="N72" i="125"/>
  <c r="L72" i="125"/>
  <c r="H72" i="125"/>
  <c r="G72" i="125"/>
  <c r="J66" i="125"/>
  <c r="L65" i="125"/>
  <c r="N65" i="125" s="1"/>
  <c r="A65" i="125" s="1"/>
  <c r="P64" i="125"/>
  <c r="N64" i="125"/>
  <c r="L64" i="125"/>
  <c r="A64" i="125"/>
  <c r="H64" i="125" s="1"/>
  <c r="P63" i="125"/>
  <c r="N63" i="125"/>
  <c r="L63" i="125"/>
  <c r="H63" i="125"/>
  <c r="G63" i="125"/>
  <c r="G64" i="125" s="1"/>
  <c r="A63" i="125"/>
  <c r="P62" i="125"/>
  <c r="N62" i="125"/>
  <c r="N66" i="125" s="1"/>
  <c r="L62" i="125"/>
  <c r="G62" i="125"/>
  <c r="A62" i="125"/>
  <c r="A67" i="125" s="1"/>
  <c r="A81" i="125" s="1"/>
  <c r="J56" i="125"/>
  <c r="N55" i="125"/>
  <c r="L55" i="125"/>
  <c r="H55" i="125"/>
  <c r="H56" i="125" s="1"/>
  <c r="G55" i="125"/>
  <c r="A55" i="125"/>
  <c r="A56" i="125" s="1"/>
  <c r="J53" i="125"/>
  <c r="J51" i="125"/>
  <c r="L50" i="125"/>
  <c r="N50" i="125" s="1"/>
  <c r="A50" i="125" s="1"/>
  <c r="A51" i="125" s="1"/>
  <c r="G50" i="125"/>
  <c r="N49" i="125"/>
  <c r="L49" i="125"/>
  <c r="H49" i="125"/>
  <c r="G49" i="125"/>
  <c r="J43" i="125"/>
  <c r="L42" i="125"/>
  <c r="N42" i="125" s="1"/>
  <c r="A42" i="125" s="1"/>
  <c r="P41" i="125"/>
  <c r="N41" i="125"/>
  <c r="L41" i="125"/>
  <c r="H41" i="125"/>
  <c r="G41" i="125"/>
  <c r="A41" i="125"/>
  <c r="P40" i="125"/>
  <c r="N40" i="125"/>
  <c r="L40" i="125"/>
  <c r="G40" i="125"/>
  <c r="A40" i="125"/>
  <c r="H40" i="125" s="1"/>
  <c r="P39" i="125"/>
  <c r="N39" i="125"/>
  <c r="N43" i="125" s="1"/>
  <c r="L39" i="125"/>
  <c r="H39" i="125"/>
  <c r="G39" i="125"/>
  <c r="A39" i="125"/>
  <c r="A44" i="125" s="1"/>
  <c r="A58" i="125" s="1"/>
  <c r="L32" i="125"/>
  <c r="N32" i="125" s="1"/>
  <c r="A32" i="125" s="1"/>
  <c r="A33" i="125" s="1"/>
  <c r="G32" i="125"/>
  <c r="H32" i="125" s="1"/>
  <c r="H33" i="125" s="1"/>
  <c r="J28" i="125"/>
  <c r="L27" i="125"/>
  <c r="N27" i="125" s="1"/>
  <c r="A27" i="125" s="1"/>
  <c r="A28" i="125" s="1"/>
  <c r="G27" i="125"/>
  <c r="J25" i="125"/>
  <c r="J23" i="125"/>
  <c r="J108" i="125" s="1"/>
  <c r="N22" i="125"/>
  <c r="L22" i="125"/>
  <c r="G22" i="125"/>
  <c r="A22" i="125"/>
  <c r="A23" i="125" s="1"/>
  <c r="L21" i="125"/>
  <c r="N21" i="125" s="1"/>
  <c r="G21" i="125"/>
  <c r="H21" i="125" s="1"/>
  <c r="J15" i="125"/>
  <c r="N14" i="125"/>
  <c r="A14" i="125" s="1"/>
  <c r="L14" i="125"/>
  <c r="P13" i="125"/>
  <c r="L13" i="125"/>
  <c r="N13" i="125" s="1"/>
  <c r="A13" i="125" s="1"/>
  <c r="H13" i="125" s="1"/>
  <c r="P12" i="125"/>
  <c r="L12" i="125"/>
  <c r="N12" i="125" s="1"/>
  <c r="A12" i="125" s="1"/>
  <c r="H12" i="125" s="1"/>
  <c r="G12" i="125"/>
  <c r="G13" i="125" s="1"/>
  <c r="P11" i="125"/>
  <c r="L11" i="125"/>
  <c r="N11" i="125" s="1"/>
  <c r="G11" i="125"/>
  <c r="M6" i="125"/>
  <c r="L6" i="125"/>
  <c r="B2" i="125"/>
  <c r="J168" i="124"/>
  <c r="J164" i="124"/>
  <c r="J163" i="124"/>
  <c r="H147" i="124"/>
  <c r="H136" i="124"/>
  <c r="H135" i="124"/>
  <c r="H137" i="124" s="1"/>
  <c r="K134" i="124"/>
  <c r="H130" i="124"/>
  <c r="H129" i="124"/>
  <c r="H131" i="124" s="1"/>
  <c r="H128" i="124"/>
  <c r="K127" i="124"/>
  <c r="H123" i="124"/>
  <c r="H122" i="124"/>
  <c r="H121" i="124"/>
  <c r="H124" i="124" s="1"/>
  <c r="K120" i="124"/>
  <c r="J118" i="124"/>
  <c r="H116" i="124"/>
  <c r="H115" i="124"/>
  <c r="H114" i="124"/>
  <c r="H117" i="124" s="1"/>
  <c r="K113" i="124"/>
  <c r="J108" i="124"/>
  <c r="A108" i="124"/>
  <c r="L107" i="124"/>
  <c r="N107" i="124" s="1"/>
  <c r="G107" i="124"/>
  <c r="H107" i="124" s="1"/>
  <c r="H108" i="124" s="1"/>
  <c r="M105" i="124"/>
  <c r="O105" i="124" s="1"/>
  <c r="J101" i="124"/>
  <c r="N100" i="124"/>
  <c r="A100" i="124" s="1"/>
  <c r="L100" i="124"/>
  <c r="J96" i="124"/>
  <c r="L95" i="124"/>
  <c r="N95" i="124" s="1"/>
  <c r="A95" i="124" s="1"/>
  <c r="A96" i="124" s="1"/>
  <c r="G95" i="124"/>
  <c r="N94" i="124"/>
  <c r="L94" i="124"/>
  <c r="H94" i="124"/>
  <c r="G94" i="124"/>
  <c r="A94" i="124"/>
  <c r="L93" i="124"/>
  <c r="N93" i="124" s="1"/>
  <c r="G93" i="124"/>
  <c r="H93" i="124" s="1"/>
  <c r="J88" i="124"/>
  <c r="P87" i="124"/>
  <c r="N87" i="124"/>
  <c r="A87" i="124" s="1"/>
  <c r="H87" i="124" s="1"/>
  <c r="L87" i="124"/>
  <c r="G87" i="124"/>
  <c r="P86" i="124"/>
  <c r="N86" i="124"/>
  <c r="L86" i="124"/>
  <c r="H86" i="124"/>
  <c r="G86" i="124"/>
  <c r="A86" i="124"/>
  <c r="P85" i="124"/>
  <c r="N85" i="124"/>
  <c r="N88" i="124" s="1"/>
  <c r="L85" i="124"/>
  <c r="G85" i="124"/>
  <c r="A85" i="124"/>
  <c r="A89" i="124" s="1"/>
  <c r="J79" i="124"/>
  <c r="N78" i="124"/>
  <c r="L78" i="124"/>
  <c r="H78" i="124"/>
  <c r="H79" i="124" s="1"/>
  <c r="G78" i="124"/>
  <c r="A78" i="124"/>
  <c r="A79" i="124" s="1"/>
  <c r="J76" i="124"/>
  <c r="J74" i="124"/>
  <c r="L73" i="124"/>
  <c r="N73" i="124" s="1"/>
  <c r="A73" i="124" s="1"/>
  <c r="A74" i="124" s="1"/>
  <c r="G73" i="124"/>
  <c r="H73" i="124" s="1"/>
  <c r="H74" i="124" s="1"/>
  <c r="N72" i="124"/>
  <c r="L72" i="124"/>
  <c r="H72" i="124"/>
  <c r="G72" i="124"/>
  <c r="J66" i="124"/>
  <c r="L65" i="124"/>
  <c r="N65" i="124" s="1"/>
  <c r="A65" i="124" s="1"/>
  <c r="P64" i="124"/>
  <c r="N64" i="124"/>
  <c r="L64" i="124"/>
  <c r="A64" i="124"/>
  <c r="P63" i="124"/>
  <c r="N63" i="124"/>
  <c r="A63" i="124" s="1"/>
  <c r="H63" i="124" s="1"/>
  <c r="L63" i="124"/>
  <c r="G63" i="124"/>
  <c r="G64" i="124" s="1"/>
  <c r="H64" i="124" s="1"/>
  <c r="P62" i="124"/>
  <c r="N62" i="124"/>
  <c r="N66" i="124" s="1"/>
  <c r="L62" i="124"/>
  <c r="H62" i="124"/>
  <c r="G62" i="124"/>
  <c r="A62" i="124"/>
  <c r="A67" i="124" s="1"/>
  <c r="A81" i="124" s="1"/>
  <c r="J56" i="124"/>
  <c r="N55" i="124"/>
  <c r="A55" i="124" s="1"/>
  <c r="L55" i="124"/>
  <c r="G55" i="124"/>
  <c r="J53" i="124"/>
  <c r="J51" i="124"/>
  <c r="L50" i="124"/>
  <c r="N50" i="124" s="1"/>
  <c r="A50" i="124" s="1"/>
  <c r="A51" i="124" s="1"/>
  <c r="G50" i="124"/>
  <c r="H50" i="124" s="1"/>
  <c r="H51" i="124" s="1"/>
  <c r="N49" i="124"/>
  <c r="L49" i="124"/>
  <c r="H49" i="124"/>
  <c r="G49" i="124"/>
  <c r="J43" i="124"/>
  <c r="L42" i="124"/>
  <c r="N42" i="124" s="1"/>
  <c r="A42" i="124" s="1"/>
  <c r="P41" i="124"/>
  <c r="N41" i="124"/>
  <c r="A41" i="124" s="1"/>
  <c r="H41" i="124" s="1"/>
  <c r="L41" i="124"/>
  <c r="P40" i="124"/>
  <c r="N40" i="124"/>
  <c r="L40" i="124"/>
  <c r="H40" i="124"/>
  <c r="G40" i="124"/>
  <c r="G41" i="124" s="1"/>
  <c r="A40" i="124"/>
  <c r="P39" i="124"/>
  <c r="N39" i="124"/>
  <c r="N43" i="124" s="1"/>
  <c r="L39" i="124"/>
  <c r="G39" i="124"/>
  <c r="L32" i="124"/>
  <c r="N32" i="124" s="1"/>
  <c r="A32" i="124" s="1"/>
  <c r="A33" i="124" s="1"/>
  <c r="G32" i="124"/>
  <c r="J28" i="124"/>
  <c r="L27" i="124"/>
  <c r="N27" i="124" s="1"/>
  <c r="A27" i="124" s="1"/>
  <c r="A28" i="124" s="1"/>
  <c r="G27" i="124"/>
  <c r="H27" i="124" s="1"/>
  <c r="H28" i="124" s="1"/>
  <c r="J25" i="124"/>
  <c r="J23" i="124"/>
  <c r="N22" i="124"/>
  <c r="L22" i="124"/>
  <c r="H22" i="124"/>
  <c r="H23" i="124" s="1"/>
  <c r="G22" i="124"/>
  <c r="A22" i="124"/>
  <c r="A23" i="124" s="1"/>
  <c r="L21" i="124"/>
  <c r="N21" i="124" s="1"/>
  <c r="G21" i="124"/>
  <c r="H21" i="124" s="1"/>
  <c r="J15" i="124"/>
  <c r="N14" i="124"/>
  <c r="A14" i="124" s="1"/>
  <c r="L14" i="124"/>
  <c r="P13" i="124"/>
  <c r="L13" i="124"/>
  <c r="N13" i="124" s="1"/>
  <c r="A13" i="124" s="1"/>
  <c r="H13" i="124" s="1"/>
  <c r="G13" i="124"/>
  <c r="P12" i="124"/>
  <c r="L12" i="124"/>
  <c r="N12" i="124" s="1"/>
  <c r="A12" i="124" s="1"/>
  <c r="H12" i="124" s="1"/>
  <c r="G12" i="124"/>
  <c r="P11" i="124"/>
  <c r="L11" i="124"/>
  <c r="N11" i="124" s="1"/>
  <c r="G11" i="124"/>
  <c r="M6" i="124"/>
  <c r="L6" i="124"/>
  <c r="B2" i="124"/>
  <c r="J77" i="123"/>
  <c r="J78" i="123" s="1"/>
  <c r="H52" i="123"/>
  <c r="H51" i="123"/>
  <c r="H50" i="123"/>
  <c r="K49" i="123"/>
  <c r="A44" i="123"/>
  <c r="L43" i="123"/>
  <c r="N43" i="123" s="1"/>
  <c r="G43" i="123"/>
  <c r="H43" i="123" s="1"/>
  <c r="H44" i="123" s="1"/>
  <c r="J39" i="123"/>
  <c r="J54" i="123" s="1"/>
  <c r="L38" i="123"/>
  <c r="N38" i="123" s="1"/>
  <c r="A38" i="123" s="1"/>
  <c r="G38" i="123"/>
  <c r="A34" i="123"/>
  <c r="N33" i="123"/>
  <c r="L33" i="123"/>
  <c r="G33" i="123"/>
  <c r="H33" i="123" s="1"/>
  <c r="H34" i="123" s="1"/>
  <c r="A33" i="123"/>
  <c r="J29" i="123"/>
  <c r="A29" i="123"/>
  <c r="N28" i="123"/>
  <c r="L28" i="123"/>
  <c r="G28" i="123"/>
  <c r="H28" i="123" s="1"/>
  <c r="H29" i="123" s="1"/>
  <c r="A28" i="123"/>
  <c r="J26" i="123"/>
  <c r="J24" i="123"/>
  <c r="J44" i="123" s="1"/>
  <c r="L23" i="123"/>
  <c r="N23" i="123" s="1"/>
  <c r="A23" i="123" s="1"/>
  <c r="H23" i="123" s="1"/>
  <c r="G23" i="123"/>
  <c r="L22" i="123"/>
  <c r="N22" i="123" s="1"/>
  <c r="A22" i="123" s="1"/>
  <c r="A24" i="123" s="1"/>
  <c r="G22" i="123"/>
  <c r="H22" i="123" s="1"/>
  <c r="H24" i="123" s="1"/>
  <c r="N21" i="123"/>
  <c r="L21" i="123"/>
  <c r="G21" i="123"/>
  <c r="H21" i="123" s="1"/>
  <c r="J15" i="123"/>
  <c r="L14" i="123"/>
  <c r="N14" i="123" s="1"/>
  <c r="A14" i="123" s="1"/>
  <c r="P13" i="123"/>
  <c r="L13" i="123"/>
  <c r="N13" i="123" s="1"/>
  <c r="A13" i="123" s="1"/>
  <c r="P12" i="123"/>
  <c r="N12" i="123"/>
  <c r="A12" i="123" s="1"/>
  <c r="H12" i="123" s="1"/>
  <c r="L12" i="123"/>
  <c r="G12" i="123"/>
  <c r="G13" i="123" s="1"/>
  <c r="P11" i="123"/>
  <c r="L11" i="123"/>
  <c r="N11" i="123" s="1"/>
  <c r="G11" i="123"/>
  <c r="L6" i="123"/>
  <c r="M6" i="123" s="1"/>
  <c r="B2" i="123"/>
  <c r="J77" i="122"/>
  <c r="J78" i="122" s="1"/>
  <c r="H52" i="122"/>
  <c r="H51" i="122"/>
  <c r="H50" i="122"/>
  <c r="K49" i="122"/>
  <c r="A44" i="122"/>
  <c r="L43" i="122"/>
  <c r="N43" i="122" s="1"/>
  <c r="G43" i="122"/>
  <c r="H43" i="122" s="1"/>
  <c r="H44" i="122" s="1"/>
  <c r="J39" i="122"/>
  <c r="J54" i="122" s="1"/>
  <c r="L38" i="122"/>
  <c r="N38" i="122" s="1"/>
  <c r="A38" i="122" s="1"/>
  <c r="G38" i="122"/>
  <c r="L33" i="122"/>
  <c r="N33" i="122" s="1"/>
  <c r="A33" i="122" s="1"/>
  <c r="A34" i="122" s="1"/>
  <c r="G33" i="122"/>
  <c r="H33" i="122" s="1"/>
  <c r="H34" i="122" s="1"/>
  <c r="J29" i="122"/>
  <c r="L28" i="122"/>
  <c r="N28" i="122" s="1"/>
  <c r="A28" i="122" s="1"/>
  <c r="A29" i="122" s="1"/>
  <c r="G28" i="122"/>
  <c r="H28" i="122" s="1"/>
  <c r="H29" i="122" s="1"/>
  <c r="J26" i="122"/>
  <c r="J24" i="122"/>
  <c r="J44" i="122" s="1"/>
  <c r="N23" i="122"/>
  <c r="L23" i="122"/>
  <c r="H23" i="122"/>
  <c r="G23" i="122"/>
  <c r="A23" i="122"/>
  <c r="L22" i="122"/>
  <c r="N22" i="122" s="1"/>
  <c r="A22" i="122" s="1"/>
  <c r="A24" i="122" s="1"/>
  <c r="G22" i="122"/>
  <c r="H22" i="122" s="1"/>
  <c r="H24" i="122" s="1"/>
  <c r="N21" i="122"/>
  <c r="L21" i="122"/>
  <c r="H21" i="122"/>
  <c r="G21" i="122"/>
  <c r="J15" i="122"/>
  <c r="L14" i="122"/>
  <c r="N14" i="122" s="1"/>
  <c r="A14" i="122" s="1"/>
  <c r="P13" i="122"/>
  <c r="N13" i="122"/>
  <c r="L13" i="122"/>
  <c r="A13" i="122"/>
  <c r="P12" i="122"/>
  <c r="N12" i="122"/>
  <c r="L12" i="122"/>
  <c r="G12" i="122"/>
  <c r="G13" i="122" s="1"/>
  <c r="H13" i="122" s="1"/>
  <c r="A12" i="122"/>
  <c r="H12" i="122" s="1"/>
  <c r="P11" i="122"/>
  <c r="N11" i="122"/>
  <c r="N15" i="122" s="1"/>
  <c r="L11" i="122"/>
  <c r="H11" i="122"/>
  <c r="G11" i="122"/>
  <c r="A11" i="122"/>
  <c r="A16" i="122" s="1"/>
  <c r="L6" i="122"/>
  <c r="M6" i="122" s="1"/>
  <c r="B2" i="122"/>
  <c r="J155" i="121"/>
  <c r="J150" i="121"/>
  <c r="J151" i="121" s="1"/>
  <c r="H134" i="121"/>
  <c r="H123" i="121"/>
  <c r="H122" i="121"/>
  <c r="H121" i="121"/>
  <c r="H124" i="121" s="1"/>
  <c r="H126" i="121" s="1"/>
  <c r="K120" i="121"/>
  <c r="H116" i="121"/>
  <c r="H115" i="121"/>
  <c r="H117" i="121" s="1"/>
  <c r="H114" i="121"/>
  <c r="K113" i="121"/>
  <c r="J111" i="121"/>
  <c r="H110" i="121"/>
  <c r="H109" i="121"/>
  <c r="H108" i="121"/>
  <c r="H107" i="121"/>
  <c r="K106" i="121"/>
  <c r="A101" i="121"/>
  <c r="L100" i="121"/>
  <c r="N100" i="121" s="1"/>
  <c r="H100" i="121"/>
  <c r="H101" i="121" s="1"/>
  <c r="G100" i="121"/>
  <c r="M98" i="121"/>
  <c r="O98" i="121" s="1"/>
  <c r="J94" i="121"/>
  <c r="L93" i="121"/>
  <c r="N93" i="121" s="1"/>
  <c r="A93" i="121" s="1"/>
  <c r="J89" i="121"/>
  <c r="N88" i="121"/>
  <c r="A88" i="121" s="1"/>
  <c r="L88" i="121"/>
  <c r="N87" i="121"/>
  <c r="L87" i="121"/>
  <c r="G87" i="121"/>
  <c r="H87" i="121" s="1"/>
  <c r="J79" i="121"/>
  <c r="L78" i="121"/>
  <c r="N78" i="121" s="1"/>
  <c r="A78" i="121" s="1"/>
  <c r="A79" i="121" s="1"/>
  <c r="G78" i="121"/>
  <c r="J76" i="121"/>
  <c r="J74" i="121"/>
  <c r="L73" i="121"/>
  <c r="N73" i="121" s="1"/>
  <c r="A73" i="121" s="1"/>
  <c r="G73" i="121"/>
  <c r="L72" i="121"/>
  <c r="N72" i="121" s="1"/>
  <c r="G72" i="121"/>
  <c r="H72" i="121" s="1"/>
  <c r="J66" i="121"/>
  <c r="N65" i="121"/>
  <c r="A65" i="121" s="1"/>
  <c r="L65" i="121"/>
  <c r="P64" i="121"/>
  <c r="L64" i="121"/>
  <c r="N64" i="121" s="1"/>
  <c r="A64" i="121" s="1"/>
  <c r="G64" i="121"/>
  <c r="P63" i="121"/>
  <c r="L63" i="121"/>
  <c r="N63" i="121" s="1"/>
  <c r="A63" i="121" s="1"/>
  <c r="H63" i="121" s="1"/>
  <c r="G63" i="121"/>
  <c r="P62" i="121"/>
  <c r="L62" i="121"/>
  <c r="N62" i="121" s="1"/>
  <c r="G62" i="121"/>
  <c r="J56" i="121"/>
  <c r="L55" i="121"/>
  <c r="N55" i="121" s="1"/>
  <c r="A55" i="121" s="1"/>
  <c r="A56" i="121" s="1"/>
  <c r="G55" i="121"/>
  <c r="H55" i="121" s="1"/>
  <c r="H56" i="121" s="1"/>
  <c r="J53" i="121"/>
  <c r="J51" i="121"/>
  <c r="N50" i="121"/>
  <c r="L50" i="121"/>
  <c r="G50" i="121"/>
  <c r="A50" i="121"/>
  <c r="L49" i="121"/>
  <c r="N49" i="121" s="1"/>
  <c r="G49" i="121"/>
  <c r="H49" i="121" s="1"/>
  <c r="J43" i="121"/>
  <c r="N42" i="121"/>
  <c r="A42" i="121" s="1"/>
  <c r="L42" i="121"/>
  <c r="P41" i="121"/>
  <c r="L41" i="121"/>
  <c r="N41" i="121" s="1"/>
  <c r="A41" i="121" s="1"/>
  <c r="H41" i="121" s="1"/>
  <c r="P40" i="121"/>
  <c r="L40" i="121"/>
  <c r="N40" i="121" s="1"/>
  <c r="A40" i="121" s="1"/>
  <c r="H40" i="121" s="1"/>
  <c r="G40" i="121"/>
  <c r="G41" i="121" s="1"/>
  <c r="P39" i="121"/>
  <c r="L39" i="121"/>
  <c r="N39" i="121" s="1"/>
  <c r="G39" i="121"/>
  <c r="N32" i="121"/>
  <c r="A32" i="121" s="1"/>
  <c r="L32" i="121"/>
  <c r="G32" i="121"/>
  <c r="J28" i="121"/>
  <c r="N27" i="121"/>
  <c r="A27" i="121" s="1"/>
  <c r="L27" i="121"/>
  <c r="G27" i="121"/>
  <c r="J25" i="121"/>
  <c r="J23" i="121"/>
  <c r="J101" i="121" s="1"/>
  <c r="L22" i="121"/>
  <c r="N22" i="121" s="1"/>
  <c r="A22" i="121" s="1"/>
  <c r="A23" i="121" s="1"/>
  <c r="G22" i="121"/>
  <c r="H22" i="121" s="1"/>
  <c r="H23" i="121" s="1"/>
  <c r="N21" i="121"/>
  <c r="L21" i="121"/>
  <c r="G21" i="121"/>
  <c r="H21" i="121" s="1"/>
  <c r="J15" i="121"/>
  <c r="L14" i="121"/>
  <c r="N14" i="121" s="1"/>
  <c r="A14" i="121" s="1"/>
  <c r="P13" i="121"/>
  <c r="N13" i="121"/>
  <c r="L13" i="121"/>
  <c r="A13" i="121"/>
  <c r="P12" i="121"/>
  <c r="N12" i="121"/>
  <c r="L12" i="121"/>
  <c r="G12" i="121"/>
  <c r="G13" i="121" s="1"/>
  <c r="A12" i="121"/>
  <c r="P11" i="121"/>
  <c r="N11" i="121"/>
  <c r="N15" i="121" s="1"/>
  <c r="L11" i="121"/>
  <c r="G11" i="121"/>
  <c r="L6" i="121"/>
  <c r="M6" i="121" s="1"/>
  <c r="B2" i="121"/>
  <c r="J150" i="120"/>
  <c r="J151" i="120" s="1"/>
  <c r="J163" i="118"/>
  <c r="J164" i="118" s="1"/>
  <c r="H134" i="120"/>
  <c r="H126" i="120"/>
  <c r="H123" i="120"/>
  <c r="H122" i="120"/>
  <c r="H121" i="120"/>
  <c r="K120" i="120"/>
  <c r="H116" i="120"/>
  <c r="H115" i="120"/>
  <c r="H114" i="120"/>
  <c r="K113" i="120"/>
  <c r="J111" i="120"/>
  <c r="H109" i="120"/>
  <c r="H108" i="120"/>
  <c r="H107" i="120"/>
  <c r="K106" i="120"/>
  <c r="A101" i="120"/>
  <c r="L100" i="120"/>
  <c r="N100" i="120" s="1"/>
  <c r="G100" i="120"/>
  <c r="H100" i="120" s="1"/>
  <c r="H101" i="120" s="1"/>
  <c r="M98" i="120"/>
  <c r="O98" i="120" s="1"/>
  <c r="J94" i="120"/>
  <c r="L93" i="120"/>
  <c r="N93" i="120" s="1"/>
  <c r="A93" i="120" s="1"/>
  <c r="J89" i="120"/>
  <c r="L88" i="120"/>
  <c r="N88" i="120" s="1"/>
  <c r="A88" i="120" s="1"/>
  <c r="A89" i="120" s="1"/>
  <c r="N87" i="120"/>
  <c r="L87" i="120"/>
  <c r="G87" i="120"/>
  <c r="H87" i="120" s="1"/>
  <c r="J79" i="120"/>
  <c r="L78" i="120"/>
  <c r="N78" i="120" s="1"/>
  <c r="A78" i="120" s="1"/>
  <c r="A79" i="120" s="1"/>
  <c r="G78" i="120"/>
  <c r="J76" i="120"/>
  <c r="J74" i="120"/>
  <c r="L73" i="120"/>
  <c r="N73" i="120" s="1"/>
  <c r="A73" i="120" s="1"/>
  <c r="A74" i="120" s="1"/>
  <c r="G73" i="120"/>
  <c r="L72" i="120"/>
  <c r="N72" i="120" s="1"/>
  <c r="G72" i="120"/>
  <c r="H72" i="120" s="1"/>
  <c r="J66" i="120"/>
  <c r="L65" i="120"/>
  <c r="N65" i="120" s="1"/>
  <c r="A65" i="120" s="1"/>
  <c r="P64" i="120"/>
  <c r="L64" i="120"/>
  <c r="N64" i="120" s="1"/>
  <c r="A64" i="120" s="1"/>
  <c r="P63" i="120"/>
  <c r="L63" i="120"/>
  <c r="N63" i="120" s="1"/>
  <c r="A63" i="120" s="1"/>
  <c r="G63" i="120"/>
  <c r="G64" i="120" s="1"/>
  <c r="P62" i="120"/>
  <c r="L62" i="120"/>
  <c r="N62" i="120" s="1"/>
  <c r="G62" i="120"/>
  <c r="J56" i="120"/>
  <c r="L55" i="120"/>
  <c r="N55" i="120" s="1"/>
  <c r="A55" i="120" s="1"/>
  <c r="A56" i="120" s="1"/>
  <c r="G55" i="120"/>
  <c r="J53" i="120"/>
  <c r="J51" i="120"/>
  <c r="L50" i="120"/>
  <c r="N50" i="120" s="1"/>
  <c r="A50" i="120" s="1"/>
  <c r="G50" i="120"/>
  <c r="L49" i="120"/>
  <c r="N49" i="120" s="1"/>
  <c r="G49" i="120"/>
  <c r="H49" i="120" s="1"/>
  <c r="J43" i="120"/>
  <c r="L42" i="120"/>
  <c r="N42" i="120" s="1"/>
  <c r="A42" i="120" s="1"/>
  <c r="P41" i="120"/>
  <c r="L41" i="120"/>
  <c r="N41" i="120" s="1"/>
  <c r="A41" i="120" s="1"/>
  <c r="P40" i="120"/>
  <c r="L40" i="120"/>
  <c r="N40" i="120" s="1"/>
  <c r="A40" i="120" s="1"/>
  <c r="G40" i="120"/>
  <c r="G41" i="120" s="1"/>
  <c r="P39" i="120"/>
  <c r="L39" i="120"/>
  <c r="N39" i="120" s="1"/>
  <c r="G39" i="120"/>
  <c r="L32" i="120"/>
  <c r="N32" i="120" s="1"/>
  <c r="A32" i="120" s="1"/>
  <c r="G32" i="120"/>
  <c r="J28" i="120"/>
  <c r="L27" i="120"/>
  <c r="N27" i="120" s="1"/>
  <c r="A27" i="120" s="1"/>
  <c r="G27" i="120"/>
  <c r="J25" i="120"/>
  <c r="J23" i="120"/>
  <c r="L22" i="120"/>
  <c r="N22" i="120" s="1"/>
  <c r="A22" i="120" s="1"/>
  <c r="A23" i="120" s="1"/>
  <c r="G22" i="120"/>
  <c r="L21" i="120"/>
  <c r="N21" i="120" s="1"/>
  <c r="G21" i="120"/>
  <c r="H21" i="120" s="1"/>
  <c r="J15" i="120"/>
  <c r="L14" i="120"/>
  <c r="N14" i="120" s="1"/>
  <c r="A14" i="120" s="1"/>
  <c r="P13" i="120"/>
  <c r="L13" i="120"/>
  <c r="N13" i="120" s="1"/>
  <c r="A13" i="120" s="1"/>
  <c r="P12" i="120"/>
  <c r="L12" i="120"/>
  <c r="N12" i="120" s="1"/>
  <c r="A12" i="120" s="1"/>
  <c r="G12" i="120"/>
  <c r="G13" i="120" s="1"/>
  <c r="P11" i="120"/>
  <c r="L11" i="120"/>
  <c r="N11" i="120" s="1"/>
  <c r="G11" i="120"/>
  <c r="L6" i="120"/>
  <c r="M6" i="120" s="1"/>
  <c r="B2" i="120"/>
  <c r="G100" i="118"/>
  <c r="H147" i="118"/>
  <c r="H137" i="118"/>
  <c r="H136" i="118"/>
  <c r="H135" i="118"/>
  <c r="K134" i="118"/>
  <c r="H131" i="118"/>
  <c r="H130" i="118"/>
  <c r="H129" i="118"/>
  <c r="H128" i="118"/>
  <c r="K127" i="118"/>
  <c r="H123" i="118"/>
  <c r="H122" i="118"/>
  <c r="H121" i="118"/>
  <c r="H124" i="118" s="1"/>
  <c r="K120" i="118"/>
  <c r="J118" i="118"/>
  <c r="H116" i="118"/>
  <c r="H115" i="118"/>
  <c r="H114" i="118"/>
  <c r="H117" i="118" s="1"/>
  <c r="K113" i="118"/>
  <c r="A108" i="118"/>
  <c r="L107" i="118"/>
  <c r="N107" i="118" s="1"/>
  <c r="G107" i="118"/>
  <c r="H107" i="118" s="1"/>
  <c r="H108" i="118" s="1"/>
  <c r="M105" i="118"/>
  <c r="O105" i="118" s="1"/>
  <c r="J101" i="118"/>
  <c r="N100" i="118"/>
  <c r="A100" i="118" s="1"/>
  <c r="L100" i="118"/>
  <c r="J96" i="118"/>
  <c r="L95" i="118"/>
  <c r="N95" i="118" s="1"/>
  <c r="A95" i="118" s="1"/>
  <c r="G95" i="118"/>
  <c r="H95" i="118" s="1"/>
  <c r="N94" i="118"/>
  <c r="A94" i="118" s="1"/>
  <c r="L94" i="118"/>
  <c r="G94" i="118"/>
  <c r="L93" i="118"/>
  <c r="N93" i="118" s="1"/>
  <c r="G93" i="118"/>
  <c r="H93" i="118" s="1"/>
  <c r="J88" i="118"/>
  <c r="P87" i="118"/>
  <c r="N87" i="118"/>
  <c r="L87" i="118"/>
  <c r="A87" i="118"/>
  <c r="P86" i="118"/>
  <c r="N86" i="118"/>
  <c r="L86" i="118"/>
  <c r="G86" i="118"/>
  <c r="G87" i="118" s="1"/>
  <c r="H87" i="118" s="1"/>
  <c r="A86" i="118"/>
  <c r="P85" i="118"/>
  <c r="N85" i="118"/>
  <c r="N88" i="118" s="1"/>
  <c r="L85" i="118"/>
  <c r="H85" i="118"/>
  <c r="G85" i="118"/>
  <c r="A85" i="118"/>
  <c r="A89" i="118" s="1"/>
  <c r="J79" i="118"/>
  <c r="N78" i="118"/>
  <c r="A78" i="118" s="1"/>
  <c r="L78" i="118"/>
  <c r="G78" i="118"/>
  <c r="J76" i="118"/>
  <c r="J74" i="118"/>
  <c r="L73" i="118"/>
  <c r="N73" i="118" s="1"/>
  <c r="A73" i="118" s="1"/>
  <c r="A74" i="118" s="1"/>
  <c r="G73" i="118"/>
  <c r="N72" i="118"/>
  <c r="L72" i="118"/>
  <c r="H72" i="118"/>
  <c r="G72" i="118"/>
  <c r="J66" i="118"/>
  <c r="L65" i="118"/>
  <c r="N65" i="118" s="1"/>
  <c r="A65" i="118" s="1"/>
  <c r="P64" i="118"/>
  <c r="N64" i="118"/>
  <c r="A64" i="118" s="1"/>
  <c r="L64" i="118"/>
  <c r="P63" i="118"/>
  <c r="N63" i="118"/>
  <c r="L63" i="118"/>
  <c r="H63" i="118"/>
  <c r="G63" i="118"/>
  <c r="G64" i="118" s="1"/>
  <c r="A63" i="118"/>
  <c r="P62" i="118"/>
  <c r="N62" i="118"/>
  <c r="N66" i="118" s="1"/>
  <c r="L62" i="118"/>
  <c r="G62" i="118"/>
  <c r="A62" i="118"/>
  <c r="J56" i="118"/>
  <c r="N55" i="118"/>
  <c r="L55" i="118"/>
  <c r="G55" i="118"/>
  <c r="H55" i="118" s="1"/>
  <c r="H56" i="118" s="1"/>
  <c r="A55" i="118"/>
  <c r="A56" i="118" s="1"/>
  <c r="J53" i="118"/>
  <c r="J51" i="118"/>
  <c r="L50" i="118"/>
  <c r="N50" i="118" s="1"/>
  <c r="A50" i="118" s="1"/>
  <c r="A51" i="118" s="1"/>
  <c r="G50" i="118"/>
  <c r="H50" i="118" s="1"/>
  <c r="H51" i="118" s="1"/>
  <c r="N49" i="118"/>
  <c r="L49" i="118"/>
  <c r="G49" i="118"/>
  <c r="H49" i="118" s="1"/>
  <c r="J43" i="118"/>
  <c r="L42" i="118"/>
  <c r="N42" i="118" s="1"/>
  <c r="A42" i="118" s="1"/>
  <c r="P41" i="118"/>
  <c r="N41" i="118"/>
  <c r="L41" i="118"/>
  <c r="A41" i="118"/>
  <c r="P40" i="118"/>
  <c r="N40" i="118"/>
  <c r="A40" i="118" s="1"/>
  <c r="L40" i="118"/>
  <c r="G40" i="118"/>
  <c r="G41" i="118" s="1"/>
  <c r="H41" i="118" s="1"/>
  <c r="P39" i="118"/>
  <c r="N39" i="118"/>
  <c r="N43" i="118" s="1"/>
  <c r="L39" i="118"/>
  <c r="H39" i="118"/>
  <c r="G39" i="118"/>
  <c r="A39" i="118"/>
  <c r="A44" i="118" s="1"/>
  <c r="A58" i="118" s="1"/>
  <c r="L32" i="118"/>
  <c r="N32" i="118" s="1"/>
  <c r="A32" i="118" s="1"/>
  <c r="A33" i="118" s="1"/>
  <c r="G32" i="118"/>
  <c r="J28" i="118"/>
  <c r="L27" i="118"/>
  <c r="N27" i="118" s="1"/>
  <c r="A27" i="118" s="1"/>
  <c r="A28" i="118" s="1"/>
  <c r="G27" i="118"/>
  <c r="H27" i="118" s="1"/>
  <c r="H28" i="118" s="1"/>
  <c r="J25" i="118"/>
  <c r="J23" i="118"/>
  <c r="J108" i="118" s="1"/>
  <c r="N22" i="118"/>
  <c r="A22" i="118" s="1"/>
  <c r="L22" i="118"/>
  <c r="G22" i="118"/>
  <c r="L21" i="118"/>
  <c r="N21" i="118" s="1"/>
  <c r="G21" i="118"/>
  <c r="H21" i="118" s="1"/>
  <c r="J15" i="118"/>
  <c r="N14" i="118"/>
  <c r="A14" i="118" s="1"/>
  <c r="L14" i="118"/>
  <c r="P13" i="118"/>
  <c r="L13" i="118"/>
  <c r="N13" i="118" s="1"/>
  <c r="A13" i="118" s="1"/>
  <c r="H13" i="118" s="1"/>
  <c r="P12" i="118"/>
  <c r="L12" i="118"/>
  <c r="N12" i="118" s="1"/>
  <c r="A12" i="118" s="1"/>
  <c r="G12" i="118"/>
  <c r="G13" i="118" s="1"/>
  <c r="P11" i="118"/>
  <c r="L11" i="118"/>
  <c r="N11" i="118" s="1"/>
  <c r="G11" i="118"/>
  <c r="M6" i="118"/>
  <c r="L6" i="118"/>
  <c r="B2" i="118"/>
  <c r="H144" i="117"/>
  <c r="H147" i="117"/>
  <c r="H136" i="117"/>
  <c r="H135" i="117"/>
  <c r="H137" i="117" s="1"/>
  <c r="K134" i="117"/>
  <c r="H130" i="117"/>
  <c r="H129" i="117"/>
  <c r="H128" i="117"/>
  <c r="H131" i="117" s="1"/>
  <c r="K127" i="117"/>
  <c r="H123" i="117"/>
  <c r="H122" i="117"/>
  <c r="H121" i="117"/>
  <c r="K120" i="117"/>
  <c r="J101" i="117"/>
  <c r="L100" i="117"/>
  <c r="N100" i="117" s="1"/>
  <c r="A100" i="117" s="1"/>
  <c r="A101" i="117" s="1"/>
  <c r="J96" i="117"/>
  <c r="L95" i="117"/>
  <c r="N95" i="117" s="1"/>
  <c r="A95" i="117" s="1"/>
  <c r="G95" i="117"/>
  <c r="L94" i="117"/>
  <c r="N94" i="117" s="1"/>
  <c r="A94" i="117" s="1"/>
  <c r="G94" i="117"/>
  <c r="L93" i="117"/>
  <c r="N93" i="117" s="1"/>
  <c r="G93" i="117"/>
  <c r="H93" i="117" s="1"/>
  <c r="J88" i="117"/>
  <c r="P87" i="117"/>
  <c r="L87" i="117"/>
  <c r="N87" i="117" s="1"/>
  <c r="A87" i="117" s="1"/>
  <c r="P86" i="117"/>
  <c r="L86" i="117"/>
  <c r="N86" i="117" s="1"/>
  <c r="A86" i="117" s="1"/>
  <c r="G86" i="117"/>
  <c r="P85" i="117"/>
  <c r="L85" i="117"/>
  <c r="N85" i="117" s="1"/>
  <c r="G85" i="117"/>
  <c r="J79" i="117"/>
  <c r="L78" i="117"/>
  <c r="N78" i="117" s="1"/>
  <c r="A78" i="117" s="1"/>
  <c r="G78" i="117"/>
  <c r="J76" i="117"/>
  <c r="J74" i="117"/>
  <c r="L73" i="117"/>
  <c r="N73" i="117" s="1"/>
  <c r="A73" i="117" s="1"/>
  <c r="A74" i="117" s="1"/>
  <c r="G73" i="117"/>
  <c r="L72" i="117"/>
  <c r="N72" i="117" s="1"/>
  <c r="G72" i="117"/>
  <c r="H72" i="117" s="1"/>
  <c r="J66" i="117"/>
  <c r="L65" i="117"/>
  <c r="N65" i="117" s="1"/>
  <c r="A65" i="117" s="1"/>
  <c r="P64" i="117"/>
  <c r="L64" i="117"/>
  <c r="N64" i="117" s="1"/>
  <c r="A64" i="117" s="1"/>
  <c r="P63" i="117"/>
  <c r="L63" i="117"/>
  <c r="N63" i="117" s="1"/>
  <c r="A63" i="117" s="1"/>
  <c r="G63" i="117"/>
  <c r="G64" i="117" s="1"/>
  <c r="P62" i="117"/>
  <c r="L62" i="117"/>
  <c r="N62" i="117" s="1"/>
  <c r="G62" i="117"/>
  <c r="J56" i="117"/>
  <c r="L55" i="117"/>
  <c r="N55" i="117" s="1"/>
  <c r="A55" i="117" s="1"/>
  <c r="A56" i="117" s="1"/>
  <c r="G55" i="117"/>
  <c r="J53" i="117"/>
  <c r="J51" i="117"/>
  <c r="L50" i="117"/>
  <c r="N50" i="117" s="1"/>
  <c r="A50" i="117" s="1"/>
  <c r="A51" i="117" s="1"/>
  <c r="G50" i="117"/>
  <c r="L49" i="117"/>
  <c r="N49" i="117" s="1"/>
  <c r="G49" i="117"/>
  <c r="H49" i="117" s="1"/>
  <c r="J43" i="117"/>
  <c r="L42" i="117"/>
  <c r="N42" i="117" s="1"/>
  <c r="A42" i="117" s="1"/>
  <c r="P41" i="117"/>
  <c r="L41" i="117"/>
  <c r="N41" i="117" s="1"/>
  <c r="A41" i="117" s="1"/>
  <c r="P40" i="117"/>
  <c r="L40" i="117"/>
  <c r="N40" i="117" s="1"/>
  <c r="A40" i="117" s="1"/>
  <c r="G40" i="117"/>
  <c r="G41" i="117" s="1"/>
  <c r="P39" i="117"/>
  <c r="L39" i="117"/>
  <c r="N39" i="117" s="1"/>
  <c r="G39" i="117"/>
  <c r="J163" i="117"/>
  <c r="J164" i="117" s="1"/>
  <c r="H116" i="117"/>
  <c r="H115" i="117"/>
  <c r="H114" i="117"/>
  <c r="K113" i="117"/>
  <c r="A108" i="117"/>
  <c r="L107" i="117"/>
  <c r="N107" i="117" s="1"/>
  <c r="J118" i="117"/>
  <c r="G107" i="117"/>
  <c r="H107" i="117" s="1"/>
  <c r="H108" i="117" s="1"/>
  <c r="L32" i="117"/>
  <c r="N32" i="117" s="1"/>
  <c r="A32" i="117" s="1"/>
  <c r="A33" i="117" s="1"/>
  <c r="G32" i="117"/>
  <c r="J28" i="117"/>
  <c r="L27" i="117"/>
  <c r="N27" i="117" s="1"/>
  <c r="A27" i="117" s="1"/>
  <c r="A28" i="117" s="1"/>
  <c r="G27" i="117"/>
  <c r="J25" i="117"/>
  <c r="J23" i="117"/>
  <c r="L22" i="117"/>
  <c r="N22" i="117" s="1"/>
  <c r="A22" i="117" s="1"/>
  <c r="A23" i="117" s="1"/>
  <c r="G22" i="117"/>
  <c r="L21" i="117"/>
  <c r="N21" i="117" s="1"/>
  <c r="G21" i="117"/>
  <c r="H21" i="117" s="1"/>
  <c r="J15" i="117"/>
  <c r="L14" i="117"/>
  <c r="N14" i="117" s="1"/>
  <c r="A14" i="117" s="1"/>
  <c r="P13" i="117"/>
  <c r="L13" i="117"/>
  <c r="N13" i="117" s="1"/>
  <c r="A13" i="117" s="1"/>
  <c r="P12" i="117"/>
  <c r="L12" i="117"/>
  <c r="N12" i="117" s="1"/>
  <c r="A12" i="117" s="1"/>
  <c r="G12" i="117"/>
  <c r="G13" i="117" s="1"/>
  <c r="P11" i="117"/>
  <c r="L11" i="117"/>
  <c r="N11" i="117" s="1"/>
  <c r="G11" i="117"/>
  <c r="L6" i="117"/>
  <c r="M6" i="117" s="1"/>
  <c r="B2" i="117"/>
  <c r="H126" i="127" l="1"/>
  <c r="N15" i="127"/>
  <c r="A45" i="127"/>
  <c r="H42" i="127"/>
  <c r="A68" i="127"/>
  <c r="H65" i="127"/>
  <c r="H78" i="127"/>
  <c r="H79" i="127" s="1"/>
  <c r="H14" i="127"/>
  <c r="H16" i="127" s="1"/>
  <c r="H35" i="127" s="1"/>
  <c r="A17" i="127"/>
  <c r="A39" i="127"/>
  <c r="N43" i="127"/>
  <c r="A62" i="127"/>
  <c r="A67" i="127" s="1"/>
  <c r="A81" i="127" s="1"/>
  <c r="N66" i="127"/>
  <c r="H88" i="127"/>
  <c r="H89" i="127" s="1"/>
  <c r="A89" i="127"/>
  <c r="A16" i="127"/>
  <c r="A35" i="127" s="1"/>
  <c r="A74" i="127"/>
  <c r="H73" i="127"/>
  <c r="H74" i="127" s="1"/>
  <c r="H93" i="127"/>
  <c r="H94" i="127" s="1"/>
  <c r="H96" i="127" s="1"/>
  <c r="A94" i="127"/>
  <c r="G41" i="127"/>
  <c r="H41" i="127" s="1"/>
  <c r="A39" i="126"/>
  <c r="N43" i="126"/>
  <c r="H55" i="126"/>
  <c r="H56" i="126" s="1"/>
  <c r="A56" i="126"/>
  <c r="H13" i="126"/>
  <c r="A45" i="126"/>
  <c r="H42" i="126"/>
  <c r="N66" i="126"/>
  <c r="H126" i="126"/>
  <c r="A35" i="126"/>
  <c r="H50" i="126"/>
  <c r="H51" i="126" s="1"/>
  <c r="A67" i="126"/>
  <c r="A74" i="126"/>
  <c r="H73" i="126"/>
  <c r="H74" i="126" s="1"/>
  <c r="H65" i="126"/>
  <c r="A68" i="126"/>
  <c r="N15" i="126"/>
  <c r="H14" i="126"/>
  <c r="A17" i="126"/>
  <c r="H41" i="126"/>
  <c r="H67" i="126"/>
  <c r="H88" i="126"/>
  <c r="H89" i="126" s="1"/>
  <c r="A89" i="126"/>
  <c r="A96" i="126" s="1"/>
  <c r="H93" i="126"/>
  <c r="H94" i="126" s="1"/>
  <c r="A11" i="126"/>
  <c r="A16" i="126" s="1"/>
  <c r="H131" i="125"/>
  <c r="H44" i="125"/>
  <c r="H65" i="125"/>
  <c r="A68" i="125"/>
  <c r="A11" i="125"/>
  <c r="A16" i="125" s="1"/>
  <c r="N15" i="125"/>
  <c r="H14" i="125"/>
  <c r="A17" i="125"/>
  <c r="H42" i="125"/>
  <c r="A45" i="125"/>
  <c r="H89" i="125"/>
  <c r="H103" i="125" s="1"/>
  <c r="H27" i="125"/>
  <c r="H28" i="125" s="1"/>
  <c r="A35" i="125"/>
  <c r="H50" i="125"/>
  <c r="H51" i="125" s="1"/>
  <c r="A96" i="125"/>
  <c r="A103" i="125" s="1"/>
  <c r="A110" i="125" s="1"/>
  <c r="H95" i="125"/>
  <c r="H139" i="125"/>
  <c r="H22" i="125"/>
  <c r="H23" i="125" s="1"/>
  <c r="H62" i="125"/>
  <c r="H78" i="125"/>
  <c r="H79" i="125" s="1"/>
  <c r="H94" i="125"/>
  <c r="H96" i="125" s="1"/>
  <c r="A11" i="124"/>
  <c r="A16" i="124" s="1"/>
  <c r="N15" i="124"/>
  <c r="A35" i="124"/>
  <c r="H14" i="124"/>
  <c r="A17" i="124"/>
  <c r="H95" i="124"/>
  <c r="A101" i="124"/>
  <c r="A103" i="124" s="1"/>
  <c r="H100" i="124"/>
  <c r="H101" i="124" s="1"/>
  <c r="H96" i="124"/>
  <c r="H139" i="124"/>
  <c r="H42" i="124"/>
  <c r="A45" i="124"/>
  <c r="H55" i="124"/>
  <c r="H56" i="124" s="1"/>
  <c r="A56" i="124"/>
  <c r="H65" i="124"/>
  <c r="H67" i="124" s="1"/>
  <c r="H81" i="124" s="1"/>
  <c r="A68" i="124"/>
  <c r="H11" i="124"/>
  <c r="H32" i="124"/>
  <c r="H33" i="124" s="1"/>
  <c r="A39" i="124"/>
  <c r="H85" i="124"/>
  <c r="H89" i="124" s="1"/>
  <c r="H53" i="123"/>
  <c r="H13" i="123"/>
  <c r="A39" i="123"/>
  <c r="M41" i="123"/>
  <c r="O41" i="123" s="1"/>
  <c r="H38" i="123"/>
  <c r="H39" i="123" s="1"/>
  <c r="N15" i="123"/>
  <c r="A11" i="123"/>
  <c r="H14" i="123"/>
  <c r="A17" i="123"/>
  <c r="H53" i="122"/>
  <c r="A17" i="122"/>
  <c r="H14" i="122"/>
  <c r="H16" i="122" s="1"/>
  <c r="A39" i="122"/>
  <c r="A46" i="122" s="1"/>
  <c r="H38" i="122"/>
  <c r="H39" i="122" s="1"/>
  <c r="M41" i="122"/>
  <c r="O41" i="122" s="1"/>
  <c r="H64" i="121"/>
  <c r="H50" i="121"/>
  <c r="H51" i="121" s="1"/>
  <c r="H12" i="121"/>
  <c r="H93" i="121"/>
  <c r="H94" i="121" s="1"/>
  <c r="A94" i="121"/>
  <c r="H14" i="121"/>
  <c r="A17" i="121"/>
  <c r="H27" i="121"/>
  <c r="H28" i="121" s="1"/>
  <c r="A28" i="121"/>
  <c r="H32" i="121"/>
  <c r="H33" i="121" s="1"/>
  <c r="A33" i="121"/>
  <c r="A62" i="121"/>
  <c r="A67" i="121" s="1"/>
  <c r="N66" i="121"/>
  <c r="H88" i="121"/>
  <c r="H89" i="121" s="1"/>
  <c r="A89" i="121"/>
  <c r="A96" i="121" s="1"/>
  <c r="N43" i="121"/>
  <c r="A39" i="121"/>
  <c r="A44" i="121" s="1"/>
  <c r="A45" i="121"/>
  <c r="H42" i="121"/>
  <c r="A74" i="121"/>
  <c r="H73" i="121"/>
  <c r="H74" i="121" s="1"/>
  <c r="H62" i="121"/>
  <c r="H67" i="121" s="1"/>
  <c r="H13" i="121"/>
  <c r="H39" i="121"/>
  <c r="H65" i="121"/>
  <c r="A68" i="121"/>
  <c r="H78" i="121"/>
  <c r="H79" i="121" s="1"/>
  <c r="A11" i="121"/>
  <c r="A51" i="121"/>
  <c r="H64" i="120"/>
  <c r="J101" i="120"/>
  <c r="H117" i="120"/>
  <c r="H22" i="120"/>
  <c r="H23" i="120" s="1"/>
  <c r="H63" i="120"/>
  <c r="H110" i="120"/>
  <c r="H73" i="120"/>
  <c r="H74" i="120" s="1"/>
  <c r="H124" i="120"/>
  <c r="H78" i="120"/>
  <c r="H79" i="120" s="1"/>
  <c r="H40" i="120"/>
  <c r="H88" i="120"/>
  <c r="H89" i="120" s="1"/>
  <c r="H41" i="120"/>
  <c r="H12" i="120"/>
  <c r="H32" i="120"/>
  <c r="H33" i="120" s="1"/>
  <c r="A33" i="120"/>
  <c r="H13" i="120"/>
  <c r="H27" i="120"/>
  <c r="H28" i="120" s="1"/>
  <c r="A28" i="120"/>
  <c r="H39" i="120"/>
  <c r="N15" i="120"/>
  <c r="A11" i="120"/>
  <c r="A39" i="120"/>
  <c r="A44" i="120" s="1"/>
  <c r="N43" i="120"/>
  <c r="H65" i="120"/>
  <c r="A68" i="120"/>
  <c r="H93" i="120"/>
  <c r="H94" i="120" s="1"/>
  <c r="A94" i="120"/>
  <c r="A96" i="120" s="1"/>
  <c r="H50" i="120"/>
  <c r="H51" i="120" s="1"/>
  <c r="A51" i="120"/>
  <c r="H14" i="120"/>
  <c r="A17" i="120"/>
  <c r="A45" i="120"/>
  <c r="H42" i="120"/>
  <c r="H55" i="120"/>
  <c r="H56" i="120" s="1"/>
  <c r="A62" i="120"/>
  <c r="A67" i="120" s="1"/>
  <c r="A81" i="120" s="1"/>
  <c r="N66" i="120"/>
  <c r="H86" i="118"/>
  <c r="H89" i="118" s="1"/>
  <c r="H62" i="118"/>
  <c r="H40" i="118"/>
  <c r="H12" i="118"/>
  <c r="H65" i="118"/>
  <c r="A68" i="118"/>
  <c r="H78" i="118"/>
  <c r="H79" i="118" s="1"/>
  <c r="A79" i="118"/>
  <c r="A96" i="118"/>
  <c r="H94" i="118"/>
  <c r="H96" i="118" s="1"/>
  <c r="H139" i="118"/>
  <c r="H22" i="118"/>
  <c r="H23" i="118" s="1"/>
  <c r="A23" i="118"/>
  <c r="H100" i="118"/>
  <c r="H101" i="118" s="1"/>
  <c r="A101" i="118"/>
  <c r="A103" i="118" s="1"/>
  <c r="N15" i="118"/>
  <c r="A11" i="118"/>
  <c r="A16" i="118" s="1"/>
  <c r="A35" i="118" s="1"/>
  <c r="A17" i="118"/>
  <c r="H14" i="118"/>
  <c r="H32" i="118"/>
  <c r="H33" i="118" s="1"/>
  <c r="H44" i="118"/>
  <c r="H58" i="118" s="1"/>
  <c r="H42" i="118"/>
  <c r="A45" i="118"/>
  <c r="H64" i="118"/>
  <c r="H67" i="118" s="1"/>
  <c r="H73" i="118"/>
  <c r="H74" i="118" s="1"/>
  <c r="A67" i="118"/>
  <c r="H124" i="117"/>
  <c r="H139" i="117" s="1"/>
  <c r="H100" i="117"/>
  <c r="H101" i="117" s="1"/>
  <c r="A96" i="117"/>
  <c r="H86" i="117"/>
  <c r="H94" i="117"/>
  <c r="H95" i="117"/>
  <c r="A85" i="117"/>
  <c r="N88" i="117"/>
  <c r="G87" i="117"/>
  <c r="H87" i="117" s="1"/>
  <c r="A68" i="117"/>
  <c r="H65" i="117"/>
  <c r="A79" i="117"/>
  <c r="H78" i="117"/>
  <c r="H79" i="117" s="1"/>
  <c r="N66" i="117"/>
  <c r="A62" i="117"/>
  <c r="H73" i="117"/>
  <c r="H74" i="117" s="1"/>
  <c r="H64" i="117"/>
  <c r="H63" i="117"/>
  <c r="H40" i="117"/>
  <c r="H50" i="117"/>
  <c r="H51" i="117" s="1"/>
  <c r="J108" i="117"/>
  <c r="H41" i="117"/>
  <c r="A45" i="117"/>
  <c r="H42" i="117"/>
  <c r="A39" i="117"/>
  <c r="N43" i="117"/>
  <c r="H55" i="117"/>
  <c r="H56" i="117" s="1"/>
  <c r="H12" i="117"/>
  <c r="H32" i="117"/>
  <c r="H33" i="117" s="1"/>
  <c r="H13" i="117"/>
  <c r="H117" i="117"/>
  <c r="H27" i="117"/>
  <c r="H28" i="117" s="1"/>
  <c r="H22" i="117"/>
  <c r="H23" i="117" s="1"/>
  <c r="A11" i="117"/>
  <c r="N15" i="117"/>
  <c r="M105" i="117"/>
  <c r="O105" i="117" s="1"/>
  <c r="H14" i="117"/>
  <c r="A17" i="117"/>
  <c r="J77" i="116"/>
  <c r="J78" i="116" s="1"/>
  <c r="H52" i="116"/>
  <c r="H51" i="116"/>
  <c r="H50" i="116"/>
  <c r="K49" i="116"/>
  <c r="A44" i="116"/>
  <c r="L43" i="116"/>
  <c r="N43" i="116" s="1"/>
  <c r="J39" i="116"/>
  <c r="J54" i="116" s="1"/>
  <c r="L38" i="116"/>
  <c r="N38" i="116" s="1"/>
  <c r="A38" i="116" s="1"/>
  <c r="G38" i="116"/>
  <c r="G43" i="116" s="1"/>
  <c r="H43" i="116" s="1"/>
  <c r="H44" i="116" s="1"/>
  <c r="L33" i="116"/>
  <c r="N33" i="116" s="1"/>
  <c r="A33" i="116" s="1"/>
  <c r="A34" i="116" s="1"/>
  <c r="G33" i="116"/>
  <c r="J29" i="116"/>
  <c r="L28" i="116"/>
  <c r="N28" i="116" s="1"/>
  <c r="A28" i="116" s="1"/>
  <c r="A29" i="116" s="1"/>
  <c r="G28" i="116"/>
  <c r="J26" i="116"/>
  <c r="J24" i="116"/>
  <c r="L23" i="116"/>
  <c r="N23" i="116" s="1"/>
  <c r="A23" i="116" s="1"/>
  <c r="G23" i="116"/>
  <c r="L22" i="116"/>
  <c r="N22" i="116" s="1"/>
  <c r="A22" i="116" s="1"/>
  <c r="G22" i="116"/>
  <c r="L21" i="116"/>
  <c r="N21" i="116" s="1"/>
  <c r="G21" i="116"/>
  <c r="H21" i="116" s="1"/>
  <c r="J15" i="116"/>
  <c r="L14" i="116"/>
  <c r="N14" i="116" s="1"/>
  <c r="A14" i="116" s="1"/>
  <c r="P13" i="116"/>
  <c r="L13" i="116"/>
  <c r="N13" i="116" s="1"/>
  <c r="A13" i="116" s="1"/>
  <c r="P12" i="116"/>
  <c r="L12" i="116"/>
  <c r="N12" i="116" s="1"/>
  <c r="A12" i="116" s="1"/>
  <c r="G12" i="116"/>
  <c r="G13" i="116" s="1"/>
  <c r="P11" i="116"/>
  <c r="L11" i="116"/>
  <c r="N11" i="116" s="1"/>
  <c r="G11" i="116"/>
  <c r="L6" i="116"/>
  <c r="M6" i="116" s="1"/>
  <c r="B2" i="116"/>
  <c r="H46" i="56"/>
  <c r="A46" i="56"/>
  <c r="H39" i="127" l="1"/>
  <c r="H44" i="127" s="1"/>
  <c r="H58" i="127" s="1"/>
  <c r="A44" i="127"/>
  <c r="A58" i="127" s="1"/>
  <c r="H62" i="127"/>
  <c r="H67" i="127" s="1"/>
  <c r="H81" i="127" s="1"/>
  <c r="H103" i="127" s="1"/>
  <c r="H131" i="127" s="1"/>
  <c r="A96" i="127"/>
  <c r="H81" i="126"/>
  <c r="H96" i="126"/>
  <c r="A81" i="126"/>
  <c r="A103" i="126"/>
  <c r="H11" i="126"/>
  <c r="H16" i="126" s="1"/>
  <c r="H35" i="126" s="1"/>
  <c r="H39" i="126"/>
  <c r="H44" i="126" s="1"/>
  <c r="H58" i="126" s="1"/>
  <c r="A44" i="126"/>
  <c r="A58" i="126" s="1"/>
  <c r="H58" i="125"/>
  <c r="H67" i="125"/>
  <c r="H81" i="125" s="1"/>
  <c r="H11" i="125"/>
  <c r="H16" i="125" s="1"/>
  <c r="H35" i="125" s="1"/>
  <c r="H16" i="124"/>
  <c r="H35" i="124" s="1"/>
  <c r="H39" i="124"/>
  <c r="H44" i="124" s="1"/>
  <c r="H58" i="124" s="1"/>
  <c r="A44" i="124"/>
  <c r="A58" i="124" s="1"/>
  <c r="A110" i="124" s="1"/>
  <c r="H103" i="124"/>
  <c r="A16" i="123"/>
  <c r="H11" i="123"/>
  <c r="H16" i="123" s="1"/>
  <c r="A46" i="123"/>
  <c r="H46" i="123"/>
  <c r="H58" i="123" s="1"/>
  <c r="H46" i="122"/>
  <c r="H58" i="122" s="1"/>
  <c r="H81" i="121"/>
  <c r="A58" i="121"/>
  <c r="H11" i="121"/>
  <c r="H16" i="121" s="1"/>
  <c r="H35" i="121" s="1"/>
  <c r="A16" i="121"/>
  <c r="A35" i="121" s="1"/>
  <c r="H44" i="121"/>
  <c r="H58" i="121" s="1"/>
  <c r="A81" i="121"/>
  <c r="A103" i="121" s="1"/>
  <c r="H96" i="121"/>
  <c r="H96" i="120"/>
  <c r="H44" i="120"/>
  <c r="A58" i="120"/>
  <c r="H11" i="120"/>
  <c r="H16" i="120" s="1"/>
  <c r="H35" i="120" s="1"/>
  <c r="A16" i="120"/>
  <c r="A35" i="120" s="1"/>
  <c r="H58" i="120"/>
  <c r="H62" i="120"/>
  <c r="H67" i="120" s="1"/>
  <c r="H81" i="120" s="1"/>
  <c r="H103" i="118"/>
  <c r="H81" i="118"/>
  <c r="H11" i="118"/>
  <c r="H16" i="118" s="1"/>
  <c r="H35" i="118" s="1"/>
  <c r="H110" i="118" s="1"/>
  <c r="H144" i="118" s="1"/>
  <c r="A81" i="118"/>
  <c r="A110" i="118" s="1"/>
  <c r="H96" i="117"/>
  <c r="H85" i="117"/>
  <c r="A89" i="117"/>
  <c r="A103" i="117" s="1"/>
  <c r="H62" i="117"/>
  <c r="H67" i="117" s="1"/>
  <c r="H81" i="117" s="1"/>
  <c r="A67" i="117"/>
  <c r="A81" i="117" s="1"/>
  <c r="H39" i="117"/>
  <c r="H44" i="117" s="1"/>
  <c r="H58" i="117" s="1"/>
  <c r="A44" i="117"/>
  <c r="A58" i="117" s="1"/>
  <c r="H12" i="116"/>
  <c r="J44" i="116"/>
  <c r="H53" i="116"/>
  <c r="H28" i="116"/>
  <c r="H29" i="116" s="1"/>
  <c r="H33" i="116"/>
  <c r="H34" i="116" s="1"/>
  <c r="H22" i="116"/>
  <c r="A16" i="117"/>
  <c r="A35" i="117" s="1"/>
  <c r="H11" i="117"/>
  <c r="H16" i="117" s="1"/>
  <c r="H23" i="116"/>
  <c r="A39" i="116"/>
  <c r="M41" i="116"/>
  <c r="O41" i="116" s="1"/>
  <c r="H38" i="116"/>
  <c r="H39" i="116" s="1"/>
  <c r="A11" i="116"/>
  <c r="N15" i="116"/>
  <c r="H14" i="116"/>
  <c r="A17" i="116"/>
  <c r="H13" i="116"/>
  <c r="A24" i="116"/>
  <c r="K136" i="127" l="1"/>
  <c r="H133" i="127"/>
  <c r="A103" i="127"/>
  <c r="H103" i="126"/>
  <c r="H131" i="126" s="1"/>
  <c r="H110" i="125"/>
  <c r="H144" i="125" s="1"/>
  <c r="H110" i="124"/>
  <c r="H144" i="124" s="1"/>
  <c r="K63" i="123"/>
  <c r="H60" i="123"/>
  <c r="K63" i="122"/>
  <c r="H60" i="122"/>
  <c r="H103" i="121"/>
  <c r="H131" i="121" s="1"/>
  <c r="A103" i="120"/>
  <c r="H103" i="120"/>
  <c r="H131" i="120" s="1"/>
  <c r="K149" i="118"/>
  <c r="H146" i="118"/>
  <c r="A110" i="117"/>
  <c r="H89" i="117"/>
  <c r="H103" i="117" s="1"/>
  <c r="H35" i="117"/>
  <c r="H24" i="116"/>
  <c r="A16" i="116"/>
  <c r="A46" i="116" s="1"/>
  <c r="H11" i="116"/>
  <c r="H16" i="116" s="1"/>
  <c r="H46" i="116" s="1"/>
  <c r="H58" i="116" s="1"/>
  <c r="H135" i="127" l="1"/>
  <c r="K140" i="127"/>
  <c r="K136" i="126"/>
  <c r="H133" i="126"/>
  <c r="K149" i="125"/>
  <c r="H146" i="125"/>
  <c r="K149" i="124"/>
  <c r="H146" i="124"/>
  <c r="K67" i="123"/>
  <c r="H62" i="123"/>
  <c r="K67" i="122"/>
  <c r="H62" i="122"/>
  <c r="K136" i="121"/>
  <c r="H133" i="121"/>
  <c r="K136" i="120"/>
  <c r="H133" i="120"/>
  <c r="K153" i="118"/>
  <c r="H148" i="118"/>
  <c r="H110" i="117"/>
  <c r="K63" i="116"/>
  <c r="H60" i="116"/>
  <c r="H136" i="127" l="1"/>
  <c r="H137" i="127"/>
  <c r="K140" i="126"/>
  <c r="H135" i="126"/>
  <c r="K153" i="125"/>
  <c r="H148" i="125"/>
  <c r="H148" i="124"/>
  <c r="K153" i="124"/>
  <c r="H63" i="123"/>
  <c r="H64" i="123" s="1"/>
  <c r="H63" i="122"/>
  <c r="H64" i="122"/>
  <c r="K140" i="121"/>
  <c r="H135" i="121"/>
  <c r="K140" i="120"/>
  <c r="H135" i="120"/>
  <c r="H149" i="118"/>
  <c r="H150" i="118" s="1"/>
  <c r="K149" i="117"/>
  <c r="H146" i="117"/>
  <c r="K67" i="116"/>
  <c r="H62" i="116"/>
  <c r="D145" i="127" l="1"/>
  <c r="K142" i="127"/>
  <c r="O136" i="127"/>
  <c r="D153" i="127"/>
  <c r="D144" i="127"/>
  <c r="I137" i="127"/>
  <c r="D143" i="127"/>
  <c r="D154" i="127"/>
  <c r="J144" i="127"/>
  <c r="D152" i="127"/>
  <c r="H136" i="126"/>
  <c r="H137" i="126" s="1"/>
  <c r="H149" i="125"/>
  <c r="H150" i="125" s="1"/>
  <c r="H149" i="124"/>
  <c r="H150" i="124" s="1"/>
  <c r="D76" i="123"/>
  <c r="J71" i="123"/>
  <c r="D80" i="123"/>
  <c r="D70" i="123"/>
  <c r="D77" i="123"/>
  <c r="D81" i="123"/>
  <c r="D78" i="123"/>
  <c r="D71" i="123"/>
  <c r="I64" i="123"/>
  <c r="D79" i="123"/>
  <c r="D72" i="123"/>
  <c r="K69" i="123"/>
  <c r="O63" i="123"/>
  <c r="D76" i="122"/>
  <c r="J71" i="122"/>
  <c r="D72" i="122"/>
  <c r="K69" i="122"/>
  <c r="D81" i="122"/>
  <c r="D78" i="122"/>
  <c r="D71" i="122"/>
  <c r="I64" i="122"/>
  <c r="D77" i="122"/>
  <c r="D80" i="122"/>
  <c r="D70" i="122"/>
  <c r="D79" i="122"/>
  <c r="O63" i="122"/>
  <c r="H136" i="121"/>
  <c r="H137" i="121" s="1"/>
  <c r="H136" i="120"/>
  <c r="H137" i="120" s="1"/>
  <c r="J157" i="118"/>
  <c r="D165" i="118"/>
  <c r="D158" i="118"/>
  <c r="O149" i="118"/>
  <c r="D167" i="118"/>
  <c r="D157" i="118"/>
  <c r="I150" i="118"/>
  <c r="D166" i="118"/>
  <c r="D156" i="118"/>
  <c r="K155" i="118"/>
  <c r="K153" i="117"/>
  <c r="H148" i="117"/>
  <c r="H149" i="117" s="1"/>
  <c r="H150" i="117" s="1"/>
  <c r="H63" i="116"/>
  <c r="H64" i="116" s="1"/>
  <c r="D146" i="127" l="1"/>
  <c r="M146" i="127"/>
  <c r="D145" i="126"/>
  <c r="K142" i="126"/>
  <c r="O136" i="126"/>
  <c r="D143" i="126"/>
  <c r="D154" i="126"/>
  <c r="J144" i="126"/>
  <c r="D153" i="126"/>
  <c r="D144" i="126"/>
  <c r="I137" i="126"/>
  <c r="D152" i="126"/>
  <c r="D158" i="125"/>
  <c r="K155" i="125"/>
  <c r="O149" i="125"/>
  <c r="D167" i="125"/>
  <c r="J157" i="125"/>
  <c r="D166" i="125"/>
  <c r="D157" i="125"/>
  <c r="I150" i="125"/>
  <c r="D165" i="125"/>
  <c r="D156" i="125"/>
  <c r="D156" i="124"/>
  <c r="D157" i="124"/>
  <c r="D158" i="124"/>
  <c r="K155" i="124"/>
  <c r="O149" i="124"/>
  <c r="I150" i="124"/>
  <c r="J157" i="124"/>
  <c r="D73" i="123"/>
  <c r="M73" i="123"/>
  <c r="J82" i="123"/>
  <c r="M73" i="122"/>
  <c r="D73" i="122"/>
  <c r="J82" i="122"/>
  <c r="D145" i="121"/>
  <c r="K142" i="121"/>
  <c r="O136" i="121"/>
  <c r="D154" i="121"/>
  <c r="J144" i="121"/>
  <c r="D153" i="121"/>
  <c r="D144" i="121"/>
  <c r="I137" i="121"/>
  <c r="D152" i="121"/>
  <c r="D143" i="121"/>
  <c r="J144" i="120"/>
  <c r="D154" i="120"/>
  <c r="D144" i="120"/>
  <c r="I137" i="120"/>
  <c r="D153" i="120"/>
  <c r="D143" i="120"/>
  <c r="D145" i="120"/>
  <c r="K142" i="120"/>
  <c r="O136" i="120"/>
  <c r="D152" i="120"/>
  <c r="M159" i="118"/>
  <c r="D159" i="118"/>
  <c r="J168" i="118"/>
  <c r="D158" i="117"/>
  <c r="J157" i="117"/>
  <c r="D156" i="117"/>
  <c r="M159" i="117" s="1"/>
  <c r="D157" i="117"/>
  <c r="K155" i="117"/>
  <c r="I150" i="117"/>
  <c r="O149" i="117"/>
  <c r="D76" i="116"/>
  <c r="J71" i="116"/>
  <c r="D81" i="116"/>
  <c r="D78" i="116"/>
  <c r="D71" i="116"/>
  <c r="I64" i="116"/>
  <c r="D77" i="116"/>
  <c r="D72" i="116"/>
  <c r="O63" i="116"/>
  <c r="D80" i="116"/>
  <c r="D70" i="116"/>
  <c r="D79" i="116"/>
  <c r="K69" i="116"/>
  <c r="D146" i="126" l="1"/>
  <c r="M146" i="126"/>
  <c r="M159" i="125"/>
  <c r="D159" i="125"/>
  <c r="D159" i="124"/>
  <c r="M159" i="124"/>
  <c r="D146" i="121"/>
  <c r="M146" i="121"/>
  <c r="M146" i="120"/>
  <c r="D146" i="120"/>
  <c r="J155" i="120"/>
  <c r="D159" i="117"/>
  <c r="J168" i="117"/>
  <c r="M73" i="116"/>
  <c r="D73" i="116"/>
  <c r="J82" i="116"/>
  <c r="G33" i="56" l="1"/>
  <c r="L33" i="56"/>
  <c r="N33" i="56" s="1"/>
  <c r="A33" i="56" s="1"/>
  <c r="A34" i="56" s="1"/>
  <c r="H33" i="56" l="1"/>
  <c r="H34" i="56" s="1"/>
  <c r="J29" i="56" l="1"/>
  <c r="L43" i="56" l="1"/>
  <c r="N43" i="56" s="1"/>
  <c r="A44" i="56" s="1"/>
  <c r="L6" i="56" l="1"/>
  <c r="M6" i="56" s="1"/>
  <c r="G21" i="56" l="1"/>
  <c r="L21" i="56"/>
  <c r="N21" i="56" s="1"/>
  <c r="H21" i="56" l="1"/>
  <c r="P12" i="56"/>
  <c r="P13" i="56"/>
  <c r="P11" i="56"/>
  <c r="H52" i="56" l="1"/>
  <c r="H51" i="56" l="1"/>
  <c r="H50" i="56"/>
  <c r="K49" i="56"/>
  <c r="H53" i="56" l="1"/>
  <c r="G38" i="56"/>
  <c r="G43" i="56" s="1"/>
  <c r="H43" i="56" s="1"/>
  <c r="H44" i="56" s="1"/>
  <c r="L38" i="56"/>
  <c r="N38" i="56" s="1"/>
  <c r="A38" i="56" s="1"/>
  <c r="M41" i="56" s="1"/>
  <c r="O41" i="56" s="1"/>
  <c r="H38" i="56" l="1"/>
  <c r="H39" i="56" s="1"/>
  <c r="A39" i="56"/>
  <c r="L22" i="56" l="1"/>
  <c r="N22" i="56" s="1"/>
  <c r="A22" i="56" s="1"/>
  <c r="J15" i="56"/>
  <c r="L14" i="56"/>
  <c r="N14" i="56" s="1"/>
  <c r="A14" i="56" s="1"/>
  <c r="L13" i="56"/>
  <c r="N13" i="56" s="1"/>
  <c r="A13" i="56" s="1"/>
  <c r="L12" i="56"/>
  <c r="N12" i="56" s="1"/>
  <c r="A12" i="56" s="1"/>
  <c r="G12" i="56"/>
  <c r="G13" i="56" s="1"/>
  <c r="L11" i="56"/>
  <c r="N11" i="56" s="1"/>
  <c r="G11" i="56"/>
  <c r="J77" i="56"/>
  <c r="J78" i="56" s="1"/>
  <c r="J39" i="56"/>
  <c r="J54" i="56" s="1"/>
  <c r="L28" i="56"/>
  <c r="N28" i="56" s="1"/>
  <c r="A28" i="56" s="1"/>
  <c r="A29" i="56" s="1"/>
  <c r="G28" i="56"/>
  <c r="J26" i="56"/>
  <c r="L23" i="56"/>
  <c r="N23" i="56" s="1"/>
  <c r="A23" i="56" s="1"/>
  <c r="G23" i="56"/>
  <c r="G22" i="56"/>
  <c r="B2" i="56"/>
  <c r="A24" i="56" l="1"/>
  <c r="J24" i="56"/>
  <c r="J44" i="56" s="1"/>
  <c r="H22" i="56"/>
  <c r="H28" i="56"/>
  <c r="H29" i="56" s="1"/>
  <c r="H23" i="56"/>
  <c r="H13" i="56"/>
  <c r="H12" i="56"/>
  <c r="A17" i="56"/>
  <c r="H14" i="56"/>
  <c r="N15" i="56"/>
  <c r="A11" i="56"/>
  <c r="A16" i="56" s="1"/>
  <c r="H24" i="56" l="1"/>
  <c r="H11" i="56"/>
  <c r="H16" i="56" s="1"/>
  <c r="H58" i="56" l="1"/>
  <c r="K63" i="56" s="1"/>
  <c r="H60" i="56" l="1"/>
  <c r="K67" i="56" s="1"/>
  <c r="H62" i="56" l="1"/>
  <c r="H63" i="56" s="1"/>
  <c r="H64" i="56" s="1"/>
  <c r="D72" i="56" l="1"/>
  <c r="D71" i="56"/>
  <c r="D81" i="56"/>
  <c r="D70" i="56"/>
  <c r="I64" i="56"/>
  <c r="D80" i="56"/>
  <c r="K69" i="56"/>
  <c r="J71" i="56"/>
  <c r="D79" i="56"/>
  <c r="D78" i="56"/>
  <c r="O63" i="56"/>
  <c r="D77" i="56"/>
  <c r="D76" i="56"/>
  <c r="D73" i="56" l="1"/>
  <c r="J82" i="56"/>
  <c r="M73" i="56"/>
</calcChain>
</file>

<file path=xl/sharedStrings.xml><?xml version="1.0" encoding="utf-8"?>
<sst xmlns="http://schemas.openxmlformats.org/spreadsheetml/2006/main" count="3256" uniqueCount="188">
  <si>
    <r>
      <rPr>
        <b/>
        <sz val="18"/>
        <rFont val="Arial"/>
        <family val="2"/>
      </rPr>
      <t xml:space="preserve">COTIZACION          </t>
    </r>
    <r>
      <rPr>
        <b/>
        <sz val="6"/>
        <rFont val="Arial"/>
        <family val="2"/>
      </rPr>
      <t xml:space="preserve"> FT-CTZ-01   </t>
    </r>
    <r>
      <rPr>
        <b/>
        <sz val="18"/>
        <rFont val="Arial"/>
        <family val="2"/>
      </rPr>
      <t xml:space="preserve">      
             </t>
    </r>
  </si>
  <si>
    <t xml:space="preserve">FECHA: </t>
  </si>
  <si>
    <t>Nº CTZ</t>
  </si>
  <si>
    <t>PRODUCTO COTIZADO:</t>
  </si>
  <si>
    <t>CIMBRA DE ALUMINIO ROBUSTFORM PLATINA 5.4 O 6.5CM</t>
  </si>
  <si>
    <t>REFERENCIA:</t>
  </si>
  <si>
    <t>PAIS/CIUDAD:</t>
  </si>
  <si>
    <t>CLIENTE:</t>
  </si>
  <si>
    <t>CONTACTO:</t>
  </si>
  <si>
    <t>PRECIO</t>
  </si>
  <si>
    <t>CANT.</t>
  </si>
  <si>
    <t>UND MEDIDA</t>
  </si>
  <si>
    <t>CONCEPTO</t>
  </si>
  <si>
    <t>PRECIO/UNIT</t>
  </si>
  <si>
    <t>PROGRAMA</t>
  </si>
  <si>
    <t>%AUMENTADO</t>
  </si>
  <si>
    <t>REPRESENTA</t>
  </si>
  <si>
    <t>TOTAL</t>
  </si>
  <si>
    <t>MT2</t>
  </si>
  <si>
    <t xml:space="preserve">EQUIPO PARA MUROS (PANELES ESTANDAR 2.40 MTS) </t>
  </si>
  <si>
    <t xml:space="preserve">EQUIPO PARA LOSA y CAPS (3 JUEGOS LOSA PUNTAL) </t>
  </si>
  <si>
    <t xml:space="preserve">EQUIPO PARA UNION MURO - LOSA  (30 CM ALTURA) </t>
  </si>
  <si>
    <t>MTL</t>
  </si>
  <si>
    <t>EQUIPO ANGULO DE ARRASTRE  (UN 1 PERIMETRO DEL EDIFICIO)</t>
  </si>
  <si>
    <r>
      <t xml:space="preserve">INCLUYE ACCESORIOS BASICOS DE SUJECION: </t>
    </r>
    <r>
      <rPr>
        <sz val="11"/>
        <rFont val="Arial"/>
        <family val="2"/>
      </rPr>
      <t>PASADORES, CUÑAS, CORBATAS,  PUNTALES PARA VACIADO DEL MOLDE , TENSORES DE VANO, ESCALERA PARA ARMADO Y HERRAMIENTAS PARA ARMADO DE MOLDE</t>
    </r>
  </si>
  <si>
    <t>TOTAL MT2</t>
  </si>
  <si>
    <t>SUBTOTAL</t>
  </si>
  <si>
    <t>TOTAL ML</t>
  </si>
  <si>
    <t>EQUIPO PARA MUROS (ANTEPECHOS)</t>
  </si>
  <si>
    <t>EQUIPO PARA LOSA y CAPS NIVELES TIPICOS</t>
  </si>
  <si>
    <r>
      <t xml:space="preserve">EQUIPO PARA LOSA  TAPA ESCALERA </t>
    </r>
    <r>
      <rPr>
        <b/>
        <sz val="12"/>
        <rFont val="Arial"/>
        <family val="2"/>
      </rPr>
      <t>ULTIMO NIVEL</t>
    </r>
    <r>
      <rPr>
        <sz val="12"/>
        <rFont val="Arial"/>
        <family val="2"/>
      </rPr>
      <t xml:space="preserve"> </t>
    </r>
  </si>
  <si>
    <r>
      <t xml:space="preserve">EQUIPO PARA UNA (1) ESCALERA , ESCALERA IZQUIERDA O DERECHA  </t>
    </r>
    <r>
      <rPr>
        <b/>
        <sz val="12"/>
        <rFont val="Arial"/>
        <family val="2"/>
      </rPr>
      <t>(NIVELES TIPO)</t>
    </r>
  </si>
  <si>
    <t>EQUIPO PARA MUROS (PANELES ESTANDAR 2.40 MTS) + 30CM DE CAP</t>
  </si>
  <si>
    <t>COTIZACION CIMBRA PARA TINAQUERA</t>
  </si>
  <si>
    <t xml:space="preserve">EQUIPO PARA TINAQUERA EN AZOTEA </t>
  </si>
  <si>
    <t>VALOR TOTAL EQUIPO ALUMINIO</t>
  </si>
  <si>
    <t xml:space="preserve">COMPLEMENTARIOS </t>
  </si>
  <si>
    <t>ANDAMIAJE (COMPLETO)</t>
  </si>
  <si>
    <r>
      <t xml:space="preserve">SISTEMA DE ANDAMIOS  PARA SEGURIDAD EN ALTURAS </t>
    </r>
    <r>
      <rPr>
        <b/>
        <sz val="11"/>
        <color rgb="FFFF0000"/>
        <rFont val="Arial"/>
        <family val="2"/>
      </rPr>
      <t xml:space="preserve"> 1 (UN)</t>
    </r>
    <r>
      <rPr>
        <sz val="11"/>
        <rFont val="Arial"/>
        <family val="2"/>
      </rPr>
      <t xml:space="preserve"> </t>
    </r>
    <r>
      <rPr>
        <b/>
        <sz val="11"/>
        <color rgb="FFFF0000"/>
        <rFont val="Arial"/>
        <family val="2"/>
      </rPr>
      <t>PERIMETRO DEL EDIFICIO</t>
    </r>
    <r>
      <rPr>
        <sz val="11"/>
        <rFont val="Arial"/>
        <family val="2"/>
      </rPr>
      <t xml:space="preserve">  INCLUYE: ( PASARELAS - PASARELAS DINTEL, PLATAFORMAS DE LAMINA ANTIRRAPANTE, GUARDA CUERPO DOBLE TUBO RIEL, ACCESORIOS DE SUJECION</t>
    </r>
    <r>
      <rPr>
        <b/>
        <sz val="11"/>
        <rFont val="Arial"/>
        <family val="2"/>
      </rPr>
      <t xml:space="preserve"> (COMPLETO)</t>
    </r>
  </si>
  <si>
    <r>
      <t xml:space="preserve">EQUIPO DE SEGURIDAD PARA EL COLADO, INCLUYE:, ALINEADORES DE CAP, GUARDA CUERPO DOBLE TUBO RIEL  </t>
    </r>
    <r>
      <rPr>
        <b/>
        <sz val="11"/>
        <color rgb="FFFF0000"/>
        <rFont val="Arial"/>
        <family val="2"/>
      </rPr>
      <t>(1 (UN) PERIMETRO DEL MOLDE DUPLEX)</t>
    </r>
    <r>
      <rPr>
        <b/>
        <sz val="11"/>
        <rFont val="Arial"/>
        <family val="2"/>
      </rPr>
      <t xml:space="preserve"> (COMPLETO)</t>
    </r>
  </si>
  <si>
    <t>LOTE</t>
  </si>
  <si>
    <t>JUEGO DE ALINEACION HORIZONTAL PARA EL MOLDE DUPLEX
(ANGULO DE ACERO X 2 LINEAS)</t>
  </si>
  <si>
    <t>VALOR TOTAL EQUIPO COMPLEMENTARIO</t>
  </si>
  <si>
    <t>SUB TOTAL</t>
  </si>
  <si>
    <t>MEMORIA GRAFICA</t>
  </si>
  <si>
    <t>IMPORTE CON LETRA:</t>
  </si>
  <si>
    <t>descuento especial</t>
  </si>
  <si>
    <t>SUB TOTAL 1</t>
  </si>
  <si>
    <t xml:space="preserve">SON: </t>
  </si>
  <si>
    <t>FLETE</t>
  </si>
  <si>
    <t>SUB TOTAL 2</t>
  </si>
  <si>
    <t>IVA</t>
  </si>
  <si>
    <t>TOTAL USD</t>
  </si>
  <si>
    <t>CONDICIONES COMERCIALES</t>
  </si>
  <si>
    <t>VIGENCIA CTZ:</t>
  </si>
  <si>
    <t>30 DIAS</t>
  </si>
  <si>
    <t>FIRMA DE APROBACION DEL CLIENTE:</t>
  </si>
  <si>
    <t>GARANTIA:</t>
  </si>
  <si>
    <t>APLICAN SEGUN CONTRATO</t>
  </si>
  <si>
    <t>FORMA DE PAGO</t>
  </si>
  <si>
    <t>60% ANTICIPO</t>
  </si>
  <si>
    <t>100% LEASING</t>
  </si>
  <si>
    <t>NOMBRE:</t>
  </si>
  <si>
    <t>TIEMPO DE ENTREGA</t>
  </si>
  <si>
    <t>120 DIAS</t>
  </si>
  <si>
    <t>ENTREGA DE 1 DUPLEX</t>
  </si>
  <si>
    <t>105 DIAS</t>
  </si>
  <si>
    <t>PRIMERA ENTREGA DE 3 DUPLEX</t>
  </si>
  <si>
    <t>135 DIAS</t>
  </si>
  <si>
    <t>SEGUNDA ENTREGA DE 3 DUPLEX</t>
  </si>
  <si>
    <t>150 DIAS</t>
  </si>
  <si>
    <t>ENTREGA DE 2 DUPLEX</t>
  </si>
  <si>
    <t>165 DIAS</t>
  </si>
  <si>
    <t>180 DIAS</t>
  </si>
  <si>
    <t>TERCERA ENTREGA DE 3 DUPLEX</t>
  </si>
  <si>
    <t>INCOTERMS</t>
  </si>
  <si>
    <t>DDP PUESTO EN OBRA</t>
  </si>
  <si>
    <t>CONDICIONES                                                                                                                GENERALES</t>
  </si>
  <si>
    <t>El aluminio utilizado será de aleación 6061 para todo el panel. El templado del aluminio será T6</t>
  </si>
  <si>
    <r>
      <t>Esta cotizacion</t>
    </r>
    <r>
      <rPr>
        <b/>
        <sz val="12"/>
        <color rgb="FFFF0000"/>
        <rFont val="Arial"/>
        <family val="2"/>
      </rPr>
      <t xml:space="preserve"> INCLUYE</t>
    </r>
    <r>
      <rPr>
        <sz val="12"/>
        <color theme="1"/>
        <rFont val="Arial"/>
        <family val="2"/>
      </rPr>
      <t xml:space="preserve"> sistema de anadamiaje de seguridad en altura INCLUYE: ( PASARELAS - PASARELAS DINTEL, PLATAFORMAS DE LAMINA ANTIRRAPANTE, GUARDA CUERPO DOBLE TUBO RIEL, ACCESORIOS DE SUJECION </t>
    </r>
    <r>
      <rPr>
        <b/>
        <sz val="12"/>
        <color theme="1"/>
        <rFont val="Arial"/>
        <family val="2"/>
      </rPr>
      <t>(COMPLETO)</t>
    </r>
  </si>
  <si>
    <r>
      <rPr>
        <sz val="12"/>
        <color theme="1"/>
        <rFont val="Arial"/>
        <family val="2"/>
      </rPr>
      <t xml:space="preserve">Esta cotizacion incluye puntales para el vaciado del molde mas formaleta de losa puntal para 3 vaciados  </t>
    </r>
    <r>
      <rPr>
        <sz val="12"/>
        <color indexed="10"/>
        <rFont val="Arial"/>
        <family val="2"/>
      </rPr>
      <t>No incluye puntales  de reapuntalamiento de losas</t>
    </r>
  </si>
  <si>
    <t>* CMR colaborara con el know how de implementacion de taller de moldes para GRUPO INMOBILIARIO VIVO donde se podra realizar los mantenimientos preventivos y correctivos (menores), el cual ayudara a preservar el activo asegurando su mayor vida util. 
* El costo de maquinarias - infraestructura (bodega) - y recurso humano estara a cargo de grupo vivo, 
* CMR vendera a GRUPO INMOBILIARIO VIVO materia prima y consumibles para la operacion de taller de moldes
* CMR vendera accesorios y herramientas de trabajo a GRUPO INMOBILIARIO VIVO a un precio especial por la adquisición de los moldes</t>
  </si>
  <si>
    <t>CMR ofrecemos la opcion de re-diseño de sus moldes de aluminio para su proximo encofrado.</t>
  </si>
  <si>
    <t>Esta cotizacion incluye Un Supervisor experimentado en el Sistema CMR, el cual colaborará en la instalación y validacion de los moldes en el sitio y capacitará a su personal para la implementacion de un colado muestra,</t>
  </si>
  <si>
    <t>CMR en conjunto con GRUPO INMOBILIARIO VIVO.. Desarrollara un progtrama de implementacion especial para los 15 molde, en acuerdo a la logistica real en obra, que sera definida con los diferentes frentes de trabajo.</t>
  </si>
  <si>
    <t>La cantidad de molde aquí detallada es estimada y solo se puede confirmar una vez finalizado el diseño de encofrado, con los planos definitivos aprobados por el cliente.    El Cliente será responsable por cualquier retraso en el suministro del molde CMR en caso de solicitar cambios en el diseño una vez recibido el plano firmado en aceptación.      Si una vez fabricado el molde, el cliente solicita cambios en el diseño, se aplicará un costo de “cimbra redundante” sobre el precio total del molde.  Se suministrará al Cliente una prueba de producción de los paneles redundantes para su verificación.</t>
  </si>
  <si>
    <t>Los precios detallados a continuación son considerando el Incoterm DDP PUESTO EN OBRA</t>
  </si>
  <si>
    <t>CARLOS ALBERTO MORA RESTREPO</t>
  </si>
  <si>
    <t>CMR COMERCIALIZADORA SA DE CV</t>
  </si>
  <si>
    <r>
      <t xml:space="preserve">SISTEMA DE ANDAMIOS  PARA SEGURIDAD EN ALTURAS </t>
    </r>
    <r>
      <rPr>
        <b/>
        <sz val="11"/>
        <color rgb="FFFF0000"/>
        <rFont val="Arial"/>
        <family val="2"/>
      </rPr>
      <t xml:space="preserve"> 1 (UN)</t>
    </r>
    <r>
      <rPr>
        <sz val="11"/>
        <rFont val="Arial"/>
        <family val="2"/>
      </rPr>
      <t xml:space="preserve"> </t>
    </r>
    <r>
      <rPr>
        <b/>
        <sz val="11"/>
        <color rgb="FFFF0000"/>
        <rFont val="Arial"/>
        <family val="2"/>
      </rPr>
      <t>PERIMETRO DEL EDIFICIO</t>
    </r>
    <r>
      <rPr>
        <sz val="11"/>
        <rFont val="Arial"/>
        <family val="2"/>
      </rPr>
      <t xml:space="preserve">  INCLUYE: ( PASARELAS - PASARELAS DINTEL, ACCESORIOS DE SUJECION</t>
    </r>
    <r>
      <rPr>
        <b/>
        <sz val="11"/>
        <rFont val="Arial"/>
        <family val="2"/>
      </rPr>
      <t xml:space="preserve"> (BASICO)</t>
    </r>
  </si>
  <si>
    <r>
      <t xml:space="preserve">EQUIPO DE SEGURIDAD PARA EL COLADO, INCLUYE:, ALINEADORES DE CAP  </t>
    </r>
    <r>
      <rPr>
        <b/>
        <sz val="11"/>
        <color rgb="FFFF0000"/>
        <rFont val="Arial"/>
        <family val="2"/>
      </rPr>
      <t>(1 (UN) PERIMETRO DEL MOLDE DUPLEX)</t>
    </r>
    <r>
      <rPr>
        <b/>
        <sz val="11"/>
        <rFont val="Arial"/>
        <family val="2"/>
      </rPr>
      <t xml:space="preserve"> (BASICO)</t>
    </r>
  </si>
  <si>
    <t>VALOR TOTAL EQUIPO ALUMINIO PLANTA BAJA</t>
  </si>
  <si>
    <t>VALOR TOTAL EQUIPO ALUMINIO POR NIVELES</t>
  </si>
  <si>
    <t>VALOR TOTAL EQUIPO COMPLEMENTARIO PLANTA BAJA</t>
  </si>
  <si>
    <t>VALOR TOTAL EQUIPO COMPLEMENTARIO ULTIMO NIVEL</t>
  </si>
  <si>
    <t>VALOR TOTAL EQUIPO ADICIONAL POR NIVELES</t>
  </si>
  <si>
    <r>
      <t>Esta cotizacion</t>
    </r>
    <r>
      <rPr>
        <b/>
        <sz val="12"/>
        <color rgb="FFFF0000"/>
        <rFont val="Arial"/>
        <family val="2"/>
      </rPr>
      <t xml:space="preserve"> INCLUYE</t>
    </r>
    <r>
      <rPr>
        <sz val="12"/>
        <color theme="1"/>
        <rFont val="Arial"/>
        <family val="2"/>
      </rPr>
      <t xml:space="preserve"> sistema de anadamiaje de seguridad en altura INCLUYE: ( PASARELAS - PASARELAS DINTEL, ACCESORIOS DE SUJECION </t>
    </r>
    <r>
      <rPr>
        <b/>
        <sz val="12"/>
        <color theme="1"/>
        <rFont val="Arial"/>
        <family val="2"/>
      </rPr>
      <t>(BASICO)</t>
    </r>
  </si>
  <si>
    <r>
      <t xml:space="preserve">Esta cotizacion incluye un molde en aluminio </t>
    </r>
    <r>
      <rPr>
        <b/>
        <sz val="12"/>
        <color theme="1"/>
        <rFont val="Arial"/>
        <family val="2"/>
      </rPr>
      <t xml:space="preserve">ROBUSTFORM  </t>
    </r>
    <r>
      <rPr>
        <b/>
        <sz val="12"/>
        <color rgb="FFFF0000"/>
        <rFont val="Arial"/>
        <family val="2"/>
      </rPr>
      <t xml:space="preserve"> </t>
    </r>
    <r>
      <rPr>
        <sz val="12"/>
        <color theme="1"/>
        <rFont val="Arial"/>
        <family val="2"/>
      </rPr>
      <t xml:space="preserve">MOLDE DUPLEX PLANTA BAJA + ADICIONALES NIVELES SUPERIORES (LOSA PLANA EN ULTIMO NIVEL  + PUNTO FIJO + ESCALERA + PRETIL (ALTURA LIBRE 270 CM.) + SISTEMA DE ANDAMIAJE </t>
    </r>
    <r>
      <rPr>
        <b/>
        <sz val="12"/>
        <color theme="1"/>
        <rFont val="Arial"/>
        <family val="2"/>
      </rPr>
      <t xml:space="preserve">COMPLETO, </t>
    </r>
    <r>
      <rPr>
        <b/>
        <sz val="12"/>
        <color rgb="FFFF0000"/>
        <rFont val="Arial"/>
        <family val="2"/>
      </rPr>
      <t>(1000 USOS)</t>
    </r>
  </si>
  <si>
    <t>30% CONTRA BL</t>
  </si>
  <si>
    <t>10% CONTRA ENTREGA EN FABRICA</t>
  </si>
  <si>
    <t>90 a 120 DIAS</t>
  </si>
  <si>
    <t>130 DIAS</t>
  </si>
  <si>
    <t>140 DIAS</t>
  </si>
  <si>
    <t>ENTREGA DE 1 DUPLEX NIVEL 1</t>
  </si>
  <si>
    <r>
      <t xml:space="preserve">MOLDE DE ALUMINIO  NUEVO PROTOTIPO </t>
    </r>
    <r>
      <rPr>
        <b/>
        <sz val="12"/>
        <color rgb="FFFF0000"/>
        <rFont val="Arial"/>
        <family val="2"/>
      </rPr>
      <t xml:space="preserve">CARMESI </t>
    </r>
    <r>
      <rPr>
        <b/>
        <sz val="12"/>
        <rFont val="Arial"/>
        <family val="2"/>
      </rPr>
      <t xml:space="preserve">MOLDE DUPLEX PLANTA BAJA + ADICIONALES NIVELES SUPERIORES (LOSA PLANA EN ULTIMO NIVEL) + PUNTO FIJO + ESCALERA (ALTURA LIBRE 270 CM.) + SISTEMA DE ANDAMIAJE COMPLETO, </t>
    </r>
    <r>
      <rPr>
        <b/>
        <sz val="12"/>
        <color rgb="FFFF0000"/>
        <rFont val="Arial"/>
        <family val="2"/>
      </rPr>
      <t>(1000 USOS)</t>
    </r>
  </si>
  <si>
    <r>
      <t xml:space="preserve">COTIZACION CIMBRA PARA </t>
    </r>
    <r>
      <rPr>
        <b/>
        <sz val="14"/>
        <color rgb="FFFF0000"/>
        <rFont val="Arial"/>
        <family val="2"/>
      </rPr>
      <t>MOLDE CARMESI</t>
    </r>
    <r>
      <rPr>
        <b/>
        <sz val="14"/>
        <rFont val="Arial"/>
        <family val="2"/>
      </rPr>
      <t xml:space="preserve"> (DUPLEX) PLANTA BAJA AL NIVEL 3</t>
    </r>
  </si>
  <si>
    <r>
      <t xml:space="preserve">COTIZACION CIMBRA PARA PUNTO FIJO + ADICIONALES ULTIMO NIVEL </t>
    </r>
    <r>
      <rPr>
        <b/>
        <sz val="14"/>
        <color rgb="FFFF0000"/>
        <rFont val="Arial"/>
        <family val="2"/>
      </rPr>
      <t>MOLDE CARMESI</t>
    </r>
  </si>
  <si>
    <r>
      <t xml:space="preserve">COTIZACION CIMBRA PARA ESCALERA </t>
    </r>
    <r>
      <rPr>
        <b/>
        <sz val="14"/>
        <color rgb="FFFF0000"/>
        <rFont val="Arial"/>
        <family val="2"/>
      </rPr>
      <t>MOLDE CARMESI</t>
    </r>
  </si>
  <si>
    <r>
      <t xml:space="preserve">COTIZACION CIMBRA PARA MURO DE PATIO PLANTA BAJA </t>
    </r>
    <r>
      <rPr>
        <b/>
        <sz val="14"/>
        <color rgb="FFFF0000"/>
        <rFont val="Arial"/>
        <family val="2"/>
      </rPr>
      <t>MOLDE CARMESI</t>
    </r>
  </si>
  <si>
    <r>
      <t xml:space="preserve">COTIZACION CIMBRA PARA PRETIL </t>
    </r>
    <r>
      <rPr>
        <b/>
        <sz val="14"/>
        <color rgb="FFFF0000"/>
        <rFont val="Arial"/>
        <family val="2"/>
      </rPr>
      <t>MOLDE CARMESI</t>
    </r>
  </si>
  <si>
    <t>TRESCIENTOS CUARENTA Y SIETE MIL NOVECIENTOS SESENTA Y CUATRO CON 63/100 DOLARES AMERICANOS</t>
  </si>
  <si>
    <t>283- 01-26</t>
  </si>
  <si>
    <t>283- 02-26</t>
  </si>
  <si>
    <r>
      <t xml:space="preserve">MOLDE DE ALUMINIO  NUEVO PROTOTIPO </t>
    </r>
    <r>
      <rPr>
        <b/>
        <sz val="12"/>
        <color rgb="FFFF0000"/>
        <rFont val="Arial"/>
        <family val="2"/>
      </rPr>
      <t xml:space="preserve">CARMESI </t>
    </r>
    <r>
      <rPr>
        <b/>
        <sz val="12"/>
        <rFont val="Arial"/>
        <family val="2"/>
      </rPr>
      <t xml:space="preserve">MOLDE DUPLEX PLANTA BAJA + ADICIONALES NIVELES SUPERIORES (LOSA PLANA EN ULTIMO NIVEL) + PUNTO FIJO + ESCALERA (ALTURA LIBRE 270 CM.) + SISTEMA DE ANDAMIAJE COMPLETO, </t>
    </r>
    <r>
      <rPr>
        <b/>
        <sz val="12"/>
        <color rgb="FFFF0000"/>
        <rFont val="Arial"/>
        <family val="2"/>
      </rPr>
      <t>(500USOS)</t>
    </r>
  </si>
  <si>
    <r>
      <t xml:space="preserve">Esta cotizacion incluye un molde en aluminio </t>
    </r>
    <r>
      <rPr>
        <b/>
        <sz val="12"/>
        <color theme="1"/>
        <rFont val="Arial"/>
        <family val="2"/>
      </rPr>
      <t xml:space="preserve">ROBUSTFORM  </t>
    </r>
    <r>
      <rPr>
        <b/>
        <sz val="12"/>
        <color rgb="FFFF0000"/>
        <rFont val="Arial"/>
        <family val="2"/>
      </rPr>
      <t xml:space="preserve"> </t>
    </r>
    <r>
      <rPr>
        <sz val="12"/>
        <color theme="1"/>
        <rFont val="Arial"/>
        <family val="2"/>
      </rPr>
      <t xml:space="preserve">MOLDE DUPLEX PLANTA BAJA + ADICIONALES NIVELES SUPERIORES (LOSA PLANA EN ULTIMO NIVEL  + PUNTO FIJO + ESCALERA + PRETIL (ALTURA LIBRE 270 CM.) + SISTEMA DE ANDAMIAJE </t>
    </r>
    <r>
      <rPr>
        <b/>
        <sz val="12"/>
        <color theme="1"/>
        <rFont val="Arial"/>
        <family val="2"/>
      </rPr>
      <t xml:space="preserve">COMPLETO, </t>
    </r>
    <r>
      <rPr>
        <b/>
        <sz val="12"/>
        <color rgb="FFFF0000"/>
        <rFont val="Arial"/>
        <family val="2"/>
      </rPr>
      <t>(500 USOS)</t>
    </r>
  </si>
  <si>
    <t>DOSCIENTOS NOVENTA Y NUEVE MIL TRESCIENTOS CUARENTA Y UNO CON 40/100 DOLARES AMERICANOS</t>
  </si>
  <si>
    <r>
      <t xml:space="preserve">COTIZACION CIMBRA PARA </t>
    </r>
    <r>
      <rPr>
        <b/>
        <sz val="14"/>
        <color rgb="FFFF0000"/>
        <rFont val="Arial"/>
        <family val="2"/>
      </rPr>
      <t>MOLDE CARMESI</t>
    </r>
    <r>
      <rPr>
        <b/>
        <sz val="14"/>
        <rFont val="Arial"/>
        <family val="2"/>
      </rPr>
      <t xml:space="preserve"> (DUPLEX) PLANTA BAJA </t>
    </r>
  </si>
  <si>
    <r>
      <t xml:space="preserve">COTIZACION CIMBRA PARA ESCALERA </t>
    </r>
    <r>
      <rPr>
        <b/>
        <sz val="14"/>
        <color rgb="FFFF0000"/>
        <rFont val="Arial"/>
        <family val="2"/>
      </rPr>
      <t>MOLDE CARMESI</t>
    </r>
    <r>
      <rPr>
        <b/>
        <sz val="14"/>
        <rFont val="Arial"/>
        <family val="2"/>
      </rPr>
      <t xml:space="preserve"> MOLDE PLANTA BAJA</t>
    </r>
  </si>
  <si>
    <r>
      <t xml:space="preserve">COTIZACION CIMBRA PARA MURO DE PATIO PLANTA BAJA </t>
    </r>
    <r>
      <rPr>
        <b/>
        <sz val="14"/>
        <color rgb="FFFF0000"/>
        <rFont val="Arial"/>
        <family val="2"/>
      </rPr>
      <t>MOLDE CARMESI</t>
    </r>
    <r>
      <rPr>
        <b/>
        <sz val="14"/>
        <rFont val="Arial"/>
        <family val="2"/>
      </rPr>
      <t xml:space="preserve"> MOLDE PLNATA BAJA</t>
    </r>
  </si>
  <si>
    <r>
      <t xml:space="preserve">COTIZACION CIMBRA PARA </t>
    </r>
    <r>
      <rPr>
        <b/>
        <sz val="14"/>
        <color rgb="FFFF0000"/>
        <rFont val="Arial"/>
        <family val="2"/>
      </rPr>
      <t>MOLDE CARMESI</t>
    </r>
    <r>
      <rPr>
        <b/>
        <sz val="14"/>
        <rFont val="Arial"/>
        <family val="2"/>
      </rPr>
      <t xml:space="preserve"> (DUPLEX) PRIMER NIVEL</t>
    </r>
  </si>
  <si>
    <r>
      <t xml:space="preserve">COTIZACION CIMBRA PARA PUNTO FIJO </t>
    </r>
    <r>
      <rPr>
        <b/>
        <sz val="14"/>
        <color rgb="FFFF0000"/>
        <rFont val="Arial"/>
        <family val="2"/>
      </rPr>
      <t xml:space="preserve">MOLDE CARMESI </t>
    </r>
    <r>
      <rPr>
        <b/>
        <sz val="14"/>
        <rFont val="Arial"/>
        <family val="2"/>
      </rPr>
      <t>(DUPLEX) PRIMER NIVEL</t>
    </r>
  </si>
  <si>
    <r>
      <t xml:space="preserve">COTIZACION CIMBRA PARA PUNTO FIJO </t>
    </r>
    <r>
      <rPr>
        <b/>
        <sz val="14"/>
        <color rgb="FFFF0000"/>
        <rFont val="Arial"/>
        <family val="2"/>
      </rPr>
      <t xml:space="preserve">MOLDE CARMESI </t>
    </r>
    <r>
      <rPr>
        <b/>
        <sz val="14"/>
        <rFont val="Arial"/>
        <family val="2"/>
      </rPr>
      <t>(DUPLEX) PLANTA BAJA</t>
    </r>
  </si>
  <si>
    <r>
      <t xml:space="preserve">COTIZACION CIMBRA PARA ESCALERA </t>
    </r>
    <r>
      <rPr>
        <b/>
        <sz val="14"/>
        <color rgb="FFFF0000"/>
        <rFont val="Arial"/>
        <family val="2"/>
      </rPr>
      <t>MOLDE CARMESI</t>
    </r>
    <r>
      <rPr>
        <b/>
        <sz val="14"/>
        <rFont val="Arial"/>
        <family val="2"/>
      </rPr>
      <t xml:space="preserve"> MOLDE PRIMER NIVEL</t>
    </r>
  </si>
  <si>
    <t>VALOR TOTAL EQUIPO ALUMINIO PRIMER NIVEL</t>
  </si>
  <si>
    <r>
      <t xml:space="preserve">COTIZACION CIMBRA PARA </t>
    </r>
    <r>
      <rPr>
        <b/>
        <sz val="14"/>
        <color rgb="FFFF0000"/>
        <rFont val="Arial"/>
        <family val="2"/>
      </rPr>
      <t>MOLDE CARMESI</t>
    </r>
    <r>
      <rPr>
        <b/>
        <sz val="14"/>
        <rFont val="Arial"/>
        <family val="2"/>
      </rPr>
      <t xml:space="preserve"> (DUPLEX) SEGUNDO NIVEL</t>
    </r>
  </si>
  <si>
    <r>
      <t xml:space="preserve">COTIZACION CIMBRA PARA PUNTO FIJO </t>
    </r>
    <r>
      <rPr>
        <b/>
        <sz val="14"/>
        <color rgb="FFFF0000"/>
        <rFont val="Arial"/>
        <family val="2"/>
      </rPr>
      <t xml:space="preserve">MOLDE CARMESI </t>
    </r>
    <r>
      <rPr>
        <b/>
        <sz val="14"/>
        <rFont val="Arial"/>
        <family val="2"/>
      </rPr>
      <t>(DUPLEX) SEGUNDO NIVEL</t>
    </r>
  </si>
  <si>
    <r>
      <t xml:space="preserve">COTIZACION CIMBRA PARA ESCALERA </t>
    </r>
    <r>
      <rPr>
        <b/>
        <sz val="14"/>
        <color rgb="FFFF0000"/>
        <rFont val="Arial"/>
        <family val="2"/>
      </rPr>
      <t>MOLDE CARMESI</t>
    </r>
    <r>
      <rPr>
        <b/>
        <sz val="14"/>
        <rFont val="Arial"/>
        <family val="2"/>
      </rPr>
      <t xml:space="preserve"> MOLDE SEGUNDO NIVEL</t>
    </r>
  </si>
  <si>
    <r>
      <t xml:space="preserve">EQUIPO PARA UNA (1) ESCALERA , ESCALERA IZQUIERDA O DERECHA  </t>
    </r>
    <r>
      <rPr>
        <b/>
        <sz val="12"/>
        <rFont val="Arial"/>
        <family val="2"/>
      </rPr>
      <t>(PLANTA BAJA)</t>
    </r>
  </si>
  <si>
    <r>
      <t xml:space="preserve">EQUIPO PARA UNA (1) ESCALERA , ESCALERA IZQUIERDA O DERECHA  </t>
    </r>
    <r>
      <rPr>
        <b/>
        <sz val="12"/>
        <rFont val="Arial"/>
        <family val="2"/>
      </rPr>
      <t>(PRIMER NIVEL)</t>
    </r>
  </si>
  <si>
    <r>
      <t xml:space="preserve">EQUIPO PARA UNA (1) ESCALERA , ESCALERA IZQUIERDA O DERECHA  </t>
    </r>
    <r>
      <rPr>
        <b/>
        <sz val="12"/>
        <rFont val="Arial"/>
        <family val="2"/>
      </rPr>
      <t>(SEGUNDO NIVEL)</t>
    </r>
  </si>
  <si>
    <t>VALOR TOTAL EQUIPO ALUMINIO SEGUNDO NIVEL</t>
  </si>
  <si>
    <r>
      <t xml:space="preserve">COTIZACION CIMBRA PARA </t>
    </r>
    <r>
      <rPr>
        <b/>
        <sz val="14"/>
        <color rgb="FFFF0000"/>
        <rFont val="Arial"/>
        <family val="2"/>
      </rPr>
      <t>MOLDE CARMESI</t>
    </r>
    <r>
      <rPr>
        <b/>
        <sz val="14"/>
        <rFont val="Arial"/>
        <family val="2"/>
      </rPr>
      <t xml:space="preserve"> (DUPLEX) ULTIMO NIVEL</t>
    </r>
  </si>
  <si>
    <r>
      <t xml:space="preserve">COTIZACION CIMBRA PARA PUNTO FIJO </t>
    </r>
    <r>
      <rPr>
        <b/>
        <sz val="14"/>
        <color rgb="FFFF0000"/>
        <rFont val="Arial"/>
        <family val="2"/>
      </rPr>
      <t xml:space="preserve">MOLDE CARMESI </t>
    </r>
    <r>
      <rPr>
        <b/>
        <sz val="14"/>
        <rFont val="Arial"/>
        <family val="2"/>
      </rPr>
      <t>(DUPLEX) ULTIMO  NIVEL</t>
    </r>
  </si>
  <si>
    <t>EQUIPO PARA LOSA y CAPS AZOTEA</t>
  </si>
  <si>
    <t>VALOR TOTAL EQUIPO ALUMINIO ULTIMO NIVEL</t>
  </si>
  <si>
    <t>EQUIPO PARA PRETIL EN AZOTEA PRETILES DE 20CM  DE ALTURA (DUPLEX)</t>
  </si>
  <si>
    <r>
      <t xml:space="preserve">COTIZACION CIMBRA PARA PRETIL </t>
    </r>
    <r>
      <rPr>
        <b/>
        <sz val="14"/>
        <color rgb="FFFF0000"/>
        <rFont val="Arial"/>
        <family val="2"/>
      </rPr>
      <t>MOLDE CARMESI</t>
    </r>
    <r>
      <rPr>
        <b/>
        <sz val="14"/>
        <rFont val="Arial"/>
        <family val="2"/>
      </rPr>
      <t xml:space="preserve"> DUPLEX ULTIMO NIVEL</t>
    </r>
  </si>
  <si>
    <t>VALOR TOTAL EQUIPO COMPLEMENTARIO PRIMER NIVEL</t>
  </si>
  <si>
    <t>VALOR TOTAL EQUIPO COMPLEMENTARIO SEGUNDO NIVEL</t>
  </si>
  <si>
    <t>283- 03-26</t>
  </si>
  <si>
    <r>
      <t xml:space="preserve">MOLDE DE ALUMINIO </t>
    </r>
    <r>
      <rPr>
        <b/>
        <sz val="12"/>
        <color rgb="FFFF0000"/>
        <rFont val="Arial"/>
        <family val="2"/>
      </rPr>
      <t xml:space="preserve"> </t>
    </r>
    <r>
      <rPr>
        <b/>
        <sz val="12"/>
        <rFont val="Arial"/>
        <family val="2"/>
      </rPr>
      <t xml:space="preserve">MOLDE DUPLEX POR NIVELES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(COMPLETO), </t>
    </r>
    <r>
      <rPr>
        <b/>
        <sz val="12"/>
        <color rgb="FFFF0000"/>
        <rFont val="Arial"/>
        <family val="2"/>
      </rPr>
      <t>(1000 USOS)</t>
    </r>
  </si>
  <si>
    <r>
      <t xml:space="preserve">Esta cotizacion incluye: 
MOLDE DE ALUMINIO  MOLDE DUPLEX POR NIVELES </t>
    </r>
    <r>
      <rPr>
        <b/>
        <sz val="12"/>
        <color rgb="FFFF0000"/>
        <rFont val="Arial"/>
        <family val="2"/>
      </rPr>
      <t>CARMESI</t>
    </r>
    <r>
      <rPr>
        <sz val="12"/>
        <color theme="1"/>
        <rFont val="Arial"/>
        <family val="2"/>
      </rPr>
      <t xml:space="preserve">
-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(COMPLETO), </t>
    </r>
    <r>
      <rPr>
        <b/>
        <sz val="12"/>
        <color rgb="FFFF0000"/>
        <rFont val="Arial"/>
        <family val="2"/>
      </rPr>
      <t>(1000 USOS)</t>
    </r>
  </si>
  <si>
    <t>UN MILLON DOSCIENTOS TREINTA Y CINCO MIL TRESCIENTOS NOVENTA Y SEIS CON 00/100 DOLARES AMERICANOS</t>
  </si>
  <si>
    <t>283- 04-26</t>
  </si>
  <si>
    <r>
      <t xml:space="preserve">MOLDE DE ALUMINIO </t>
    </r>
    <r>
      <rPr>
        <b/>
        <sz val="12"/>
        <color rgb="FFFF0000"/>
        <rFont val="Arial"/>
        <family val="2"/>
      </rPr>
      <t xml:space="preserve"> </t>
    </r>
    <r>
      <rPr>
        <b/>
        <sz val="12"/>
        <rFont val="Arial"/>
        <family val="2"/>
      </rPr>
      <t xml:space="preserve">MOLDE DUPLEX POR NIVELES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(COMPLETO), </t>
    </r>
    <r>
      <rPr>
        <b/>
        <sz val="12"/>
        <color rgb="FFFF0000"/>
        <rFont val="Arial"/>
        <family val="2"/>
      </rPr>
      <t>(500USOS)</t>
    </r>
  </si>
  <si>
    <r>
      <t xml:space="preserve">Esta cotizacion incluye: 
MOLDE DE ALUMINIO  MOLDE DUPLEX POR NIVELES </t>
    </r>
    <r>
      <rPr>
        <b/>
        <sz val="12"/>
        <color rgb="FFFF0000"/>
        <rFont val="Arial"/>
        <family val="2"/>
      </rPr>
      <t>CARMESI</t>
    </r>
    <r>
      <rPr>
        <sz val="12"/>
        <color theme="1"/>
        <rFont val="Arial"/>
        <family val="2"/>
      </rPr>
      <t xml:space="preserve">
-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(COMPLETO), </t>
    </r>
    <r>
      <rPr>
        <b/>
        <sz val="12"/>
        <color rgb="FFFF0000"/>
        <rFont val="Arial"/>
        <family val="2"/>
      </rPr>
      <t>(500 USOS)</t>
    </r>
  </si>
  <si>
    <t>UN MILLON SESENTA MIL OCHOCIENTOS VEINTINUEVE CON 63/100 DOLARES AMERICANOS</t>
  </si>
  <si>
    <t>GE ARQUITEKTOS</t>
  </si>
  <si>
    <t>ARQ. GUILLERMO ESCOBOSA</t>
  </si>
  <si>
    <t xml:space="preserve">ge.escobosa@gmail.com   </t>
  </si>
  <si>
    <t>MEXICO /  MAZATLAN</t>
  </si>
  <si>
    <t>283- 05-26</t>
  </si>
  <si>
    <r>
      <t xml:space="preserve">MOLDE DE ALUMINIO </t>
    </r>
    <r>
      <rPr>
        <b/>
        <sz val="12"/>
        <color rgb="FFFF0000"/>
        <rFont val="Arial"/>
        <family val="2"/>
      </rPr>
      <t xml:space="preserve"> </t>
    </r>
    <r>
      <rPr>
        <b/>
        <sz val="12"/>
        <rFont val="Arial"/>
        <family val="2"/>
      </rPr>
      <t xml:space="preserve">MOLDE DUPLEX POR NIVELES + ADICIONALES ULTIMO NIVEL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t>
    </r>
    <r>
      <rPr>
        <b/>
        <sz val="12"/>
        <color rgb="FFFF0000"/>
        <rFont val="Arial"/>
        <family val="2"/>
      </rPr>
      <t>ADICIONALES</t>
    </r>
    <r>
      <rPr>
        <b/>
        <sz val="12"/>
        <rFont val="Arial"/>
        <family val="2"/>
      </rPr>
      <t xml:space="preserve"> ULTIMO NIVEL LOSAPLANA + PUNTO FIJO 
(ALTURA LIBRE 270 CM.)  SISTEMA DE ANDAMIAJE (COMPLETO), </t>
    </r>
    <r>
      <rPr>
        <b/>
        <sz val="12"/>
        <color rgb="FFFF0000"/>
        <rFont val="Arial"/>
        <family val="2"/>
      </rPr>
      <t>(1000 USOS)</t>
    </r>
  </si>
  <si>
    <r>
      <t>COTIZACION CIMBRA</t>
    </r>
    <r>
      <rPr>
        <b/>
        <sz val="14"/>
        <color rgb="FFFF0000"/>
        <rFont val="Arial"/>
        <family val="2"/>
      </rPr>
      <t xml:space="preserve"> ADICIONALES</t>
    </r>
    <r>
      <rPr>
        <b/>
        <sz val="14"/>
        <rFont val="Arial"/>
        <family val="2"/>
      </rPr>
      <t xml:space="preserve"> PARA </t>
    </r>
    <r>
      <rPr>
        <b/>
        <sz val="14"/>
        <color rgb="FFFF0000"/>
        <rFont val="Arial"/>
        <family val="2"/>
      </rPr>
      <t>MOLDE CARMESI</t>
    </r>
    <r>
      <rPr>
        <b/>
        <sz val="14"/>
        <rFont val="Arial"/>
        <family val="2"/>
      </rPr>
      <t xml:space="preserve">  ULTIMO NIVEL</t>
    </r>
  </si>
  <si>
    <r>
      <t xml:space="preserve">Esta cotizacion incluye: 
MOLDE DE ALUMINIO  MOLDE DUPLEX POR NIVELES + ADICIONALES ULTIMO NIVEL CARMESI
- DUPLEX PLANTA BAJA + PUNTO FIJO + ESCALERA + SISTEMA DE ANDAMIAJE
- DUPLEX 1ER NIVEL + PUNTO FIJO + ESCALERA + SISTEMA DE ANDAMIAJE
- DUPLEX 2DO NIVEL + PUNTO FIJO + ESCALERA + SISTEMA DE ANDAMIAJE
- </t>
    </r>
    <r>
      <rPr>
        <b/>
        <sz val="12"/>
        <color rgb="FFFF0000"/>
        <rFont val="Arial"/>
        <family val="2"/>
      </rPr>
      <t xml:space="preserve">ADICIONALES </t>
    </r>
    <r>
      <rPr>
        <sz val="12"/>
        <color theme="1"/>
        <rFont val="Arial"/>
        <family val="2"/>
      </rPr>
      <t xml:space="preserve">ULTIMO NIVEL LOSA PLANA + PUNTO FIJO 
(ALTURA LIBRE 270 CM.)  SISTEMA DE ANDAMIAJE (COMPLETO), </t>
    </r>
    <r>
      <rPr>
        <b/>
        <sz val="12"/>
        <color rgb="FFFF0000"/>
        <rFont val="Arial"/>
        <family val="2"/>
      </rPr>
      <t>(1000 USOS)</t>
    </r>
  </si>
  <si>
    <t>ENTREGA DE 1 DUPLEX PLANTA BAJA</t>
  </si>
  <si>
    <t>ENTREGA DE 1 DUPLEX NIVEL 2</t>
  </si>
  <si>
    <t>ENTREGA DE 1 DUPLEX ULTIMO NIVEL</t>
  </si>
  <si>
    <t>ENTREGA DE 1 DUPLEX NIVEL 2 + ADICIONALES ULTIMO NIVEL</t>
  </si>
  <si>
    <t>NOVECIENTOS OCHENTA Y TRES MIL TRESCIENTOS CUARENTA Y UNO CON 88/100 DOLARES AMERICANOS</t>
  </si>
  <si>
    <t>283- 06-26</t>
  </si>
  <si>
    <r>
      <t xml:space="preserve">MOLDE DE ALUMINIO </t>
    </r>
    <r>
      <rPr>
        <b/>
        <sz val="12"/>
        <color rgb="FFFF0000"/>
        <rFont val="Arial"/>
        <family val="2"/>
      </rPr>
      <t xml:space="preserve"> </t>
    </r>
    <r>
      <rPr>
        <b/>
        <sz val="12"/>
        <rFont val="Arial"/>
        <family val="2"/>
      </rPr>
      <t xml:space="preserve">MOLDE DUPLEX POR NIVELES + ADICIONALES ULTIMO NIVEL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t>
    </r>
    <r>
      <rPr>
        <b/>
        <sz val="12"/>
        <color rgb="FFFF0000"/>
        <rFont val="Arial"/>
        <family val="2"/>
      </rPr>
      <t>ADICIONALES</t>
    </r>
    <r>
      <rPr>
        <b/>
        <sz val="12"/>
        <rFont val="Arial"/>
        <family val="2"/>
      </rPr>
      <t xml:space="preserve"> ULTIMO NIVEL LOSAPLANA + PUNTO FIJO 
(ALTURA LIBRE 270 CM.)  SISTEMA DE ANDAMIAJE (COMPLETO), </t>
    </r>
    <r>
      <rPr>
        <b/>
        <sz val="12"/>
        <color rgb="FFFF0000"/>
        <rFont val="Arial"/>
        <family val="2"/>
      </rPr>
      <t>(500 USOS)</t>
    </r>
  </si>
  <si>
    <r>
      <t xml:space="preserve">Esta cotizacion incluye: 
MOLDE DE ALUMINIO  MOLDE DUPLEX POR NIVELES + ADICIONALES ULTIMO NIVEL CARMESI
- DUPLEX PLANTA BAJA + PUNTO FIJO + ESCALERA + SISTEMA DE ANDAMIAJE
- DUPLEX 1ER NIVEL + PUNTO FIJO + ESCALERA + SISTEMA DE ANDAMIAJE
- DUPLEX 2DO NIVEL + PUNTO FIJO + ESCALERA + SISTEMA DE ANDAMIAJE
- </t>
    </r>
    <r>
      <rPr>
        <b/>
        <sz val="12"/>
        <color rgb="FFFF0000"/>
        <rFont val="Arial"/>
        <family val="2"/>
      </rPr>
      <t xml:space="preserve">ADICIONALES </t>
    </r>
    <r>
      <rPr>
        <sz val="12"/>
        <color theme="1"/>
        <rFont val="Arial"/>
        <family val="2"/>
      </rPr>
      <t xml:space="preserve">ULTIMO NIVEL LOSA PLANA + PUNTO FIJO 
(ALTURA LIBRE 270 CM.)  SISTEMA DE ANDAMIAJE (COMPLETO), </t>
    </r>
    <r>
      <rPr>
        <b/>
        <sz val="12"/>
        <color rgb="FFFF0000"/>
        <rFont val="Arial"/>
        <family val="2"/>
      </rPr>
      <t>(500 USOS)</t>
    </r>
  </si>
  <si>
    <t>OCHOCIENTOS CUARENTA Y NUEVE MIL SEISCIENTOS CINCUENTA Y DOS CON 20/100 DOLARES AMERICANOS</t>
  </si>
  <si>
    <t>283- 07-26</t>
  </si>
  <si>
    <r>
      <t xml:space="preserve">MOLDE DE ALUMINIO  NUEVO PROTOTIPO </t>
    </r>
    <r>
      <rPr>
        <b/>
        <sz val="12"/>
        <color rgb="FFFF0000"/>
        <rFont val="Arial"/>
        <family val="2"/>
      </rPr>
      <t xml:space="preserve">CARMESI </t>
    </r>
    <r>
      <rPr>
        <b/>
        <sz val="12"/>
        <rFont val="Arial"/>
        <family val="2"/>
      </rPr>
      <t xml:space="preserve">MOLDE DUPLEX PLANTA BAJA + ADICIONALES NIVELES SUPERIORES (LOSA PLANA EN ULTIMO NIVEL) + PUNTO FIJO + ESCALERA (ALTURA LIBRE 270 CM.) + SISTEMA DE ANDAMIAJE BASICO, </t>
    </r>
    <r>
      <rPr>
        <b/>
        <sz val="12"/>
        <color rgb="FFFF0000"/>
        <rFont val="Arial"/>
        <family val="2"/>
      </rPr>
      <t>(1000 USOS)</t>
    </r>
  </si>
  <si>
    <r>
      <t xml:space="preserve">Esta cotizacion incluye un molde en aluminio </t>
    </r>
    <r>
      <rPr>
        <b/>
        <sz val="12"/>
        <color theme="1"/>
        <rFont val="Arial"/>
        <family val="2"/>
      </rPr>
      <t xml:space="preserve">ROBUSTFORM  </t>
    </r>
    <r>
      <rPr>
        <b/>
        <sz val="12"/>
        <color rgb="FFFF0000"/>
        <rFont val="Arial"/>
        <family val="2"/>
      </rPr>
      <t xml:space="preserve"> </t>
    </r>
    <r>
      <rPr>
        <sz val="12"/>
        <color theme="1"/>
        <rFont val="Arial"/>
        <family val="2"/>
      </rPr>
      <t xml:space="preserve">MOLDE DUPLEX PLANTA BAJA + ADICIONALES NIVELES SUPERIORES (LOSA PLANA EN ULTIMO NIVEL  + PUNTO FIJO + ESCALERA + PRETIL (ALTURA LIBRE 270 CM.) + SISTEMA DE ANDAMIAJE </t>
    </r>
    <r>
      <rPr>
        <b/>
        <sz val="12"/>
        <color theme="1"/>
        <rFont val="Arial"/>
        <family val="2"/>
      </rPr>
      <t xml:space="preserve">BASICO, </t>
    </r>
    <r>
      <rPr>
        <b/>
        <sz val="12"/>
        <color rgb="FFFF0000"/>
        <rFont val="Arial"/>
        <family val="2"/>
      </rPr>
      <t>(1000 USOS)</t>
    </r>
  </si>
  <si>
    <t>TRESCIENTOS SEIS MIL NOVECIENTOS CON 63/100 DOLARES AMERICANOS</t>
  </si>
  <si>
    <r>
      <t xml:space="preserve">Esta cotizacion incluye un molde en aluminio </t>
    </r>
    <r>
      <rPr>
        <b/>
        <sz val="12"/>
        <color theme="1"/>
        <rFont val="Arial"/>
        <family val="2"/>
      </rPr>
      <t xml:space="preserve">ROBUSTFORM  </t>
    </r>
    <r>
      <rPr>
        <b/>
        <sz val="12"/>
        <color rgb="FFFF0000"/>
        <rFont val="Arial"/>
        <family val="2"/>
      </rPr>
      <t xml:space="preserve"> </t>
    </r>
    <r>
      <rPr>
        <sz val="12"/>
        <color theme="1"/>
        <rFont val="Arial"/>
        <family val="2"/>
      </rPr>
      <t xml:space="preserve">MOLDE DUPLEX PLANTA BAJA + ADICIONALES NIVELES SUPERIORES (LOSA PLANA EN ULTIMO NIVEL  + PUNTO FIJO + ESCALERA + PRETIL (ALTURA LIBRE 270 CM.) + SISTEMA DE ANDAMIAJE </t>
    </r>
    <r>
      <rPr>
        <b/>
        <sz val="12"/>
        <color theme="1"/>
        <rFont val="Arial"/>
        <family val="2"/>
      </rPr>
      <t xml:space="preserve">BASICO, </t>
    </r>
    <r>
      <rPr>
        <b/>
        <sz val="12"/>
        <color rgb="FFFF0000"/>
        <rFont val="Arial"/>
        <family val="2"/>
      </rPr>
      <t>(500 USOS)</t>
    </r>
  </si>
  <si>
    <r>
      <t xml:space="preserve">MOLDE DE ALUMINIO  NUEVO PROTOTIPO </t>
    </r>
    <r>
      <rPr>
        <b/>
        <sz val="12"/>
        <color rgb="FFFF0000"/>
        <rFont val="Arial"/>
        <family val="2"/>
      </rPr>
      <t xml:space="preserve">CARMESI </t>
    </r>
    <r>
      <rPr>
        <b/>
        <sz val="12"/>
        <rFont val="Arial"/>
        <family val="2"/>
      </rPr>
      <t xml:space="preserve">MOLDE DUPLEX PLANTA BAJA + ADICIONALES NIVELES SUPERIORES (LOSA PLANA EN ULTIMO NIVEL) + PUNTO FIJO + ESCALERA (ALTURA LIBRE 270 CM.) + SISTEMA DE ANDAMIAJE BASICO, </t>
    </r>
    <r>
      <rPr>
        <b/>
        <sz val="12"/>
        <color rgb="FFFF0000"/>
        <rFont val="Arial"/>
        <family val="2"/>
      </rPr>
      <t>(500USOS)</t>
    </r>
  </si>
  <si>
    <t>DOSCIENTOS CINCUENTA Y OCHO MIL DOSCIENTOS SETENTA Y SIETE CON 40/100 DOLARES AMERICANOS</t>
  </si>
  <si>
    <r>
      <t xml:space="preserve">Esta cotizacion incluye: 
MOLDE DE ALUMINIO  MOLDE DUPLEX POR NIVELES </t>
    </r>
    <r>
      <rPr>
        <b/>
        <sz val="12"/>
        <color rgb="FFFF0000"/>
        <rFont val="Arial"/>
        <family val="2"/>
      </rPr>
      <t>CARMESI</t>
    </r>
    <r>
      <rPr>
        <sz val="12"/>
        <color theme="1"/>
        <rFont val="Arial"/>
        <family val="2"/>
      </rPr>
      <t xml:space="preserve">
-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t>
    </r>
    <r>
      <rPr>
        <b/>
        <sz val="12"/>
        <color theme="1"/>
        <rFont val="Arial"/>
        <family val="2"/>
      </rPr>
      <t>(BASICO)</t>
    </r>
    <r>
      <rPr>
        <sz val="12"/>
        <color theme="1"/>
        <rFont val="Arial"/>
        <family val="2"/>
      </rPr>
      <t xml:space="preserve">, </t>
    </r>
    <r>
      <rPr>
        <b/>
        <sz val="12"/>
        <color rgb="FFFF0000"/>
        <rFont val="Arial"/>
        <family val="2"/>
      </rPr>
      <t>(1000 USOS)</t>
    </r>
  </si>
  <si>
    <r>
      <t xml:space="preserve">MOLDE DE ALUMINIO </t>
    </r>
    <r>
      <rPr>
        <b/>
        <sz val="12"/>
        <color rgb="FFFF0000"/>
        <rFont val="Arial"/>
        <family val="2"/>
      </rPr>
      <t xml:space="preserve"> </t>
    </r>
    <r>
      <rPr>
        <b/>
        <sz val="12"/>
        <rFont val="Arial"/>
        <family val="2"/>
      </rPr>
      <t xml:space="preserve">MOLDE DUPLEX POR NIVELES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(BASICO), </t>
    </r>
    <r>
      <rPr>
        <b/>
        <sz val="12"/>
        <color rgb="FFFF0000"/>
        <rFont val="Arial"/>
        <family val="2"/>
      </rPr>
      <t>(1000 USOS)</t>
    </r>
  </si>
  <si>
    <t>283- 09-26</t>
  </si>
  <si>
    <t>283- 08-26</t>
  </si>
  <si>
    <t>UN MILLON CIENTO UN MIL SETECIENTOS SESENTA Y CUATRO CON 00/100 DOLARES AMERICANOS</t>
  </si>
  <si>
    <r>
      <t xml:space="preserve">Esta cotizacion incluye: 
MOLDE DE ALUMINIO  MOLDE DUPLEX POR NIVELES </t>
    </r>
    <r>
      <rPr>
        <b/>
        <sz val="12"/>
        <color rgb="FFFF0000"/>
        <rFont val="Arial"/>
        <family val="2"/>
      </rPr>
      <t>CARMESI</t>
    </r>
    <r>
      <rPr>
        <sz val="12"/>
        <color theme="1"/>
        <rFont val="Arial"/>
        <family val="2"/>
      </rPr>
      <t xml:space="preserve">
-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t>
    </r>
    <r>
      <rPr>
        <b/>
        <sz val="12"/>
        <color theme="1"/>
        <rFont val="Arial"/>
        <family val="2"/>
      </rPr>
      <t>(BASICO)</t>
    </r>
    <r>
      <rPr>
        <sz val="12"/>
        <color theme="1"/>
        <rFont val="Arial"/>
        <family val="2"/>
      </rPr>
      <t xml:space="preserve">, </t>
    </r>
    <r>
      <rPr>
        <b/>
        <sz val="12"/>
        <color rgb="FFFF0000"/>
        <rFont val="Arial"/>
        <family val="2"/>
      </rPr>
      <t>(500 USOS)</t>
    </r>
  </si>
  <si>
    <t>283- 10-26</t>
  </si>
  <si>
    <r>
      <t xml:space="preserve">MOLDE DE ALUMINIO </t>
    </r>
    <r>
      <rPr>
        <b/>
        <sz val="12"/>
        <color rgb="FFFF0000"/>
        <rFont val="Arial"/>
        <family val="2"/>
      </rPr>
      <t xml:space="preserve"> </t>
    </r>
    <r>
      <rPr>
        <b/>
        <sz val="12"/>
        <rFont val="Arial"/>
        <family val="2"/>
      </rPr>
      <t xml:space="preserve">MOLDE DUPLEX POR NIVELES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DUPLEX ULTIMO NIVEL LOSAPLANA + PUNTO FIJO + SISTEMA DE ANDAMIAJE
(ALTURA LIBRE 270 CM.)  SISTEMA DE ANDAMIAJE (BASICO), </t>
    </r>
    <r>
      <rPr>
        <b/>
        <sz val="12"/>
        <color rgb="FFFF0000"/>
        <rFont val="Arial"/>
        <family val="2"/>
      </rPr>
      <t>(500USOS)</t>
    </r>
  </si>
  <si>
    <t>NOVECIENTOS VEINTISIETE MIL CIENTO NOVENTA Y SIETE CON 63/100 DOLARES AMERICANOS</t>
  </si>
  <si>
    <t>283- 11-26</t>
  </si>
  <si>
    <r>
      <t xml:space="preserve">MOLDE DE ALUMINIO </t>
    </r>
    <r>
      <rPr>
        <b/>
        <sz val="12"/>
        <color rgb="FFFF0000"/>
        <rFont val="Arial"/>
        <family val="2"/>
      </rPr>
      <t xml:space="preserve"> </t>
    </r>
    <r>
      <rPr>
        <b/>
        <sz val="12"/>
        <rFont val="Arial"/>
        <family val="2"/>
      </rPr>
      <t xml:space="preserve">MOLDE DUPLEX POR NIVELES + ADICIONALES ULTIMO NIVEL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t>
    </r>
    <r>
      <rPr>
        <b/>
        <sz val="12"/>
        <color rgb="FFFF0000"/>
        <rFont val="Arial"/>
        <family val="2"/>
      </rPr>
      <t>ADICIONALES</t>
    </r>
    <r>
      <rPr>
        <b/>
        <sz val="12"/>
        <rFont val="Arial"/>
        <family val="2"/>
      </rPr>
      <t xml:space="preserve"> ULTIMO NIVEL LOSAPLANA + PUNTO FIJO 
(ALTURA LIBRE 270 CM.)  SISTEMA DE ANDAMIAJE (BASICO), </t>
    </r>
    <r>
      <rPr>
        <b/>
        <sz val="12"/>
        <color rgb="FFFF0000"/>
        <rFont val="Arial"/>
        <family val="2"/>
      </rPr>
      <t>(1000 USOS)</t>
    </r>
  </si>
  <si>
    <r>
      <t xml:space="preserve">Esta cotizacion incluye: 
MOLDE DE ALUMINIO  MOLDE DUPLEX POR NIVELES + ADICIONALES ULTIMO NIVEL CARMESI
- DUPLEX PLANTA BAJA + PUNTO FIJO + ESCALERA + SISTEMA DE ANDAMIAJE
- DUPLEX 1ER NIVEL + PUNTO FIJO + ESCALERA + SISTEMA DE ANDAMIAJE
- DUPLEX 2DO NIVEL + PUNTO FIJO + ESCALERA + SISTEMA DE ANDAMIAJE
- </t>
    </r>
    <r>
      <rPr>
        <b/>
        <sz val="12"/>
        <color rgb="FFFF0000"/>
        <rFont val="Arial"/>
        <family val="2"/>
      </rPr>
      <t xml:space="preserve">ADICIONALES </t>
    </r>
    <r>
      <rPr>
        <sz val="12"/>
        <color theme="1"/>
        <rFont val="Arial"/>
        <family val="2"/>
      </rPr>
      <t xml:space="preserve">ULTIMO NIVEL LOSA PLANA + PUNTO FIJO 
(ALTURA LIBRE 270 CM.)  SISTEMA DE ANDAMIAJE </t>
    </r>
    <r>
      <rPr>
        <b/>
        <sz val="12"/>
        <color theme="1"/>
        <rFont val="Arial"/>
        <family val="2"/>
      </rPr>
      <t>(BASICO)</t>
    </r>
    <r>
      <rPr>
        <sz val="12"/>
        <color theme="1"/>
        <rFont val="Arial"/>
        <family val="2"/>
      </rPr>
      <t xml:space="preserve">, </t>
    </r>
    <r>
      <rPr>
        <b/>
        <sz val="12"/>
        <color rgb="FFFF0000"/>
        <rFont val="Arial"/>
        <family val="2"/>
      </rPr>
      <t>(1000 USOS)</t>
    </r>
  </si>
  <si>
    <t>OCHOCIENTOS SESENTA MIL CIENTO CUARENTA Y NUEVE CON 88/100 DOLARES AMERICANOS</t>
  </si>
  <si>
    <r>
      <t xml:space="preserve">Esta cotizacion incluye: 
MOLDE DE ALUMINIO  MOLDE DUPLEX POR NIVELES + ADICIONALES ULTIMO NIVEL CARMESI
- DUPLEX PLANTA BAJA + PUNTO FIJO + ESCALERA + SISTEMA DE ANDAMIAJE
- DUPLEX 1ER NIVEL + PUNTO FIJO + ESCALERA + SISTEMA DE ANDAMIAJE
- DUPLEX 2DO NIVEL + PUNTO FIJO + ESCALERA + SISTEMA DE ANDAMIAJE
- </t>
    </r>
    <r>
      <rPr>
        <b/>
        <sz val="12"/>
        <color rgb="FFFF0000"/>
        <rFont val="Arial"/>
        <family val="2"/>
      </rPr>
      <t xml:space="preserve">ADICIONALES </t>
    </r>
    <r>
      <rPr>
        <sz val="12"/>
        <color theme="1"/>
        <rFont val="Arial"/>
        <family val="2"/>
      </rPr>
      <t xml:space="preserve">ULTIMO NIVEL LOSA PLANA + PUNTO FIJO 
(ALTURA LIBRE 270 CM.)  SISTEMA DE ANDAMIAJE </t>
    </r>
    <r>
      <rPr>
        <b/>
        <sz val="12"/>
        <color theme="1"/>
        <rFont val="Arial"/>
        <family val="2"/>
      </rPr>
      <t>(BASICO)</t>
    </r>
    <r>
      <rPr>
        <sz val="12"/>
        <color theme="1"/>
        <rFont val="Arial"/>
        <family val="2"/>
      </rPr>
      <t xml:space="preserve">, </t>
    </r>
    <r>
      <rPr>
        <b/>
        <sz val="12"/>
        <color rgb="FFFF0000"/>
        <rFont val="Arial"/>
        <family val="2"/>
      </rPr>
      <t>(500 USOS)</t>
    </r>
  </si>
  <si>
    <r>
      <t xml:space="preserve">MOLDE DE ALUMINIO </t>
    </r>
    <r>
      <rPr>
        <b/>
        <sz val="12"/>
        <color rgb="FFFF0000"/>
        <rFont val="Arial"/>
        <family val="2"/>
      </rPr>
      <t xml:space="preserve"> </t>
    </r>
    <r>
      <rPr>
        <b/>
        <sz val="12"/>
        <rFont val="Arial"/>
        <family val="2"/>
      </rPr>
      <t xml:space="preserve">MOLDE DUPLEX POR NIVELES + ADICIONALES ULTIMO NIVEL </t>
    </r>
    <r>
      <rPr>
        <b/>
        <sz val="12"/>
        <color rgb="FFFF0000"/>
        <rFont val="Arial"/>
        <family val="2"/>
      </rPr>
      <t xml:space="preserve">CARMESI
</t>
    </r>
    <r>
      <rPr>
        <b/>
        <sz val="12"/>
        <rFont val="Arial"/>
        <family val="2"/>
      </rPr>
      <t xml:space="preserve">- DUPLEX PLANTA BAJA + PUNTO FIJO + ESCALERA + SISTEMA DE ANDAMIAJE
- DUPLEX 1ER NIVEL + PUNTO FIJO + ESCALERA + SISTEMA DE ANDAMIAJE
- DUPLEX 2DO NIVEL + PUNTO FIJO + ESCALERA + SISTEMA DE ANDAMIAJE
- </t>
    </r>
    <r>
      <rPr>
        <b/>
        <sz val="12"/>
        <color rgb="FFFF0000"/>
        <rFont val="Arial"/>
        <family val="2"/>
      </rPr>
      <t>ADICIONALES</t>
    </r>
    <r>
      <rPr>
        <b/>
        <sz val="12"/>
        <rFont val="Arial"/>
        <family val="2"/>
      </rPr>
      <t xml:space="preserve"> ULTIMO NIVEL LOSAPLANA + PUNTO FIJO 
(ALTURA LIBRE 270 CM.)  SISTEMA DE ANDAMIAJE (BASICO), </t>
    </r>
    <r>
      <rPr>
        <b/>
        <sz val="12"/>
        <color rgb="FFFF0000"/>
        <rFont val="Arial"/>
        <family val="2"/>
      </rPr>
      <t>(500 USOS)</t>
    </r>
  </si>
  <si>
    <t>283- 12-26</t>
  </si>
  <si>
    <t>SETECIENTOS VEINTISEIS MIL CUATROCIENTOS SESENTA CON 20/100 DOLARES AMERICANOS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</si>
</sst>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_(* #,##0.00_);_(* \(#,##0.00\);_(* &quot;-&quot;??_);_(@_)"/>
    <numFmt numFmtId="165" formatCode="_(&quot;B/.&quot;\ * #,##0.00_);_(&quot;B/.&quot;\ * \(#,##0.00\);_(&quot;B/.&quot;\ * &quot;-&quot;??_);_(@_)"/>
    <numFmt numFmtId="166" formatCode="_-[$$-409]* #,##0.00_ ;_-[$$-409]* \-#,##0.00\ ;_-[$$-409]* &quot;-&quot;??_ ;_-@_ "/>
    <numFmt numFmtId="167" formatCode="[$USD]\ #,##0.00"/>
    <numFmt numFmtId="168" formatCode="[$USD]\ #,##0.00;\-[$USD]\ #,##0.00"/>
    <numFmt numFmtId="169" formatCode="_-[$$-80A]* #,##0.00_-;\-[$$-80A]* #,##0.00_-;_-[$$-80A]* &quot;-&quot;??_-;_-@_-"/>
    <numFmt numFmtId="170" formatCode="&quot;$&quot;#,##0.00"/>
  </numFmts>
  <fonts count="22">
    <font>
      <sz val="10"/>
      <name val="Arial"/>
      <charset val="134"/>
    </font>
    <font>
      <sz val="11"/>
      <color theme="1"/>
      <name val="Calibri"/>
      <family val="2"/>
      <scheme val="minor"/>
    </font>
    <font>
      <sz val="11"/>
      <name val="Arial"/>
      <family val="2"/>
    </font>
    <font>
      <b/>
      <sz val="10"/>
      <name val="Arial"/>
      <family val="2"/>
    </font>
    <font>
      <b/>
      <sz val="18"/>
      <name val="Arial"/>
      <family val="2"/>
    </font>
    <font>
      <b/>
      <sz val="14"/>
      <name val="Arial"/>
      <family val="2"/>
    </font>
    <font>
      <b/>
      <sz val="23"/>
      <name val="Arial"/>
      <family val="2"/>
    </font>
    <font>
      <b/>
      <sz val="14"/>
      <color rgb="FFFF0000"/>
      <name val="Arial"/>
      <family val="2"/>
    </font>
    <font>
      <b/>
      <sz val="14"/>
      <color rgb="FFDD0806"/>
      <name val="Arial"/>
      <family val="2"/>
    </font>
    <font>
      <b/>
      <sz val="12"/>
      <name val="Arial"/>
      <family val="2"/>
    </font>
    <font>
      <u/>
      <sz val="10"/>
      <color theme="10"/>
      <name val="Arial"/>
      <family val="2"/>
    </font>
    <font>
      <b/>
      <sz val="11"/>
      <name val="Arial"/>
      <family val="2"/>
    </font>
    <font>
      <sz val="12"/>
      <name val="Arial"/>
      <family val="2"/>
    </font>
    <font>
      <b/>
      <sz val="12"/>
      <color theme="1"/>
      <name val="Arial"/>
      <family val="2"/>
    </font>
    <font>
      <b/>
      <sz val="12"/>
      <color rgb="FFFF0000"/>
      <name val="Arial"/>
      <family val="2"/>
    </font>
    <font>
      <b/>
      <sz val="11"/>
      <color rgb="FFFF0000"/>
      <name val="Arial"/>
      <family val="2"/>
    </font>
    <font>
      <sz val="12"/>
      <color theme="1"/>
      <name val="Arial"/>
      <family val="2"/>
    </font>
    <font>
      <sz val="10"/>
      <name val="Arial"/>
      <family val="2"/>
    </font>
    <font>
      <sz val="10"/>
      <name val="Verdana"/>
      <family val="2"/>
    </font>
    <font>
      <sz val="12"/>
      <color indexed="10"/>
      <name val="Arial"/>
      <family val="2"/>
    </font>
    <font>
      <b/>
      <sz val="6"/>
      <name val="Arial"/>
      <family val="2"/>
    </font>
    <font>
      <u/>
      <sz val="11"/>
      <color theme="1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indexed="9"/>
        <bgColor indexed="64"/>
      </patternFill>
    </fill>
    <fill>
      <patternFill patternType="solid">
        <fgColor theme="6" tint="0.79992065187536243"/>
        <bgColor indexed="64"/>
      </patternFill>
    </fill>
    <fill>
      <patternFill patternType="solid">
        <fgColor theme="6" tint="0.79995117038483843"/>
        <bgColor indexed="64"/>
      </patternFill>
    </fill>
    <fill>
      <patternFill patternType="solid">
        <fgColor theme="6" tint="0.79992065187536243"/>
        <bgColor rgb="FF000000"/>
      </patternFill>
    </fill>
    <fill>
      <patternFill patternType="solid">
        <fgColor theme="0"/>
        <bgColor indexed="64"/>
      </patternFill>
    </fill>
    <fill>
      <patternFill patternType="solid">
        <fgColor rgb="FFFFFFFF"/>
        <bgColor rgb="FF000000"/>
      </patternFill>
    </fill>
    <fill>
      <patternFill patternType="solid">
        <fgColor theme="0" tint="-0.1499374370555742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164" fontId="17" fillId="0" borderId="0" applyFont="0" applyFill="0" applyBorder="0" applyAlignment="0" applyProtection="0"/>
    <xf numFmtId="0" fontId="10" fillId="0" borderId="0" applyNumberFormat="0" applyFill="0" applyBorder="0" applyAlignment="0" applyProtection="0"/>
    <xf numFmtId="43" fontId="18" fillId="0" borderId="0" applyFont="0" applyFill="0" applyBorder="0" applyAlignment="0" applyProtection="0"/>
    <xf numFmtId="165" fontId="17" fillId="0" borderId="0" applyFont="0" applyFill="0" applyBorder="0" applyAlignment="0" applyProtection="0"/>
    <xf numFmtId="0" fontId="17" fillId="0" borderId="0"/>
    <xf numFmtId="0" fontId="1" fillId="0" borderId="0"/>
    <xf numFmtId="44" fontId="1" fillId="0" borderId="0" applyFont="0" applyFill="0" applyBorder="0" applyAlignment="0" applyProtection="0"/>
    <xf numFmtId="0" fontId="21" fillId="0" borderId="0" applyNumberFormat="0" applyFill="0" applyBorder="0" applyAlignment="0" applyProtection="0"/>
  </cellStyleXfs>
  <cellXfs count="193">
    <xf numFmtId="0" fontId="0" fillId="0" borderId="0" xfId="0"/>
    <xf numFmtId="0" fontId="0" fillId="0" borderId="0" xfId="0" applyAlignment="1">
      <alignment vertical="center"/>
    </xf>
    <xf numFmtId="0" fontId="2" fillId="0" borderId="0" xfId="0" applyFont="1" applyAlignment="1">
      <alignment horizontal="left" vertical="center"/>
    </xf>
    <xf numFmtId="0" fontId="3" fillId="0" borderId="0" xfId="0" applyFont="1" applyAlignment="1">
      <alignment vertical="center"/>
    </xf>
    <xf numFmtId="0" fontId="0" fillId="0" borderId="0" xfId="5" applyFont="1" applyAlignment="1">
      <alignment vertical="center"/>
    </xf>
    <xf numFmtId="166" fontId="0" fillId="0" borderId="0" xfId="4" applyNumberFormat="1" applyFont="1" applyAlignment="1">
      <alignment vertical="center"/>
    </xf>
    <xf numFmtId="0" fontId="5" fillId="2" borderId="1" xfId="5" applyFont="1" applyFill="1" applyBorder="1" applyAlignment="1">
      <alignment horizontal="center" vertical="center"/>
    </xf>
    <xf numFmtId="14" fontId="5" fillId="2" borderId="1" xfId="5" applyNumberFormat="1" applyFont="1" applyFill="1" applyBorder="1" applyAlignment="1">
      <alignment horizontal="center" vertical="center"/>
    </xf>
    <xf numFmtId="166" fontId="7" fillId="2" borderId="1" xfId="4" applyNumberFormat="1" applyFont="1" applyFill="1" applyBorder="1" applyAlignment="1">
      <alignment horizontal="center" vertical="center"/>
    </xf>
    <xf numFmtId="14" fontId="8" fillId="2" borderId="1" xfId="4" applyNumberFormat="1" applyFont="1" applyFill="1" applyBorder="1" applyAlignment="1">
      <alignment horizontal="center" vertical="center"/>
    </xf>
    <xf numFmtId="166" fontId="9" fillId="5" borderId="1" xfId="4" applyNumberFormat="1" applyFont="1" applyFill="1" applyBorder="1" applyAlignment="1">
      <alignment vertical="center"/>
    </xf>
    <xf numFmtId="0" fontId="11" fillId="6"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2" fontId="12" fillId="7" borderId="1" xfId="0" applyNumberFormat="1" applyFont="1" applyFill="1" applyBorder="1" applyAlignment="1">
      <alignment horizontal="center" vertical="center"/>
    </xf>
    <xf numFmtId="0" fontId="12" fillId="0" borderId="1" xfId="0" applyFont="1" applyBorder="1" applyAlignment="1">
      <alignment horizontal="center" vertical="center"/>
    </xf>
    <xf numFmtId="167" fontId="12" fillId="8" borderId="1" xfId="0" applyNumberFormat="1" applyFont="1" applyFill="1" applyBorder="1" applyAlignment="1">
      <alignment horizontal="center" vertical="center"/>
    </xf>
    <xf numFmtId="167" fontId="12" fillId="0" borderId="1" xfId="4" applyNumberFormat="1" applyFont="1" applyFill="1" applyBorder="1" applyAlignment="1">
      <alignment horizontal="right" vertical="center"/>
    </xf>
    <xf numFmtId="0" fontId="2" fillId="0" borderId="1" xfId="0" applyFont="1" applyBorder="1" applyAlignment="1">
      <alignment vertical="center" wrapText="1"/>
    </xf>
    <xf numFmtId="2" fontId="9" fillId="4" borderId="1" xfId="5" applyNumberFormat="1" applyFont="1" applyFill="1" applyBorder="1" applyAlignment="1">
      <alignment horizontal="center" vertical="center"/>
    </xf>
    <xf numFmtId="0" fontId="9" fillId="4" borderId="1" xfId="5" applyFont="1" applyFill="1" applyBorder="1" applyAlignment="1">
      <alignment horizontal="center" vertical="center"/>
    </xf>
    <xf numFmtId="167" fontId="9" fillId="4" borderId="1" xfId="4" applyNumberFormat="1" applyFont="1" applyFill="1" applyBorder="1" applyAlignment="1">
      <alignment horizontal="right" vertical="center"/>
    </xf>
    <xf numFmtId="167" fontId="13" fillId="4" borderId="1" xfId="4" applyNumberFormat="1" applyFont="1" applyFill="1" applyBorder="1" applyAlignment="1">
      <alignment horizontal="right" vertical="center"/>
    </xf>
    <xf numFmtId="0" fontId="2" fillId="0" borderId="1" xfId="0" applyFont="1" applyBorder="1" applyAlignment="1">
      <alignment horizontal="center" vertical="center" wrapText="1"/>
    </xf>
    <xf numFmtId="168" fontId="2" fillId="0" borderId="1" xfId="4" applyNumberFormat="1" applyFont="1" applyBorder="1" applyAlignment="1">
      <alignment horizontal="center" vertical="center"/>
    </xf>
    <xf numFmtId="168" fontId="2" fillId="0" borderId="1" xfId="0" applyNumberFormat="1" applyFont="1" applyBorder="1" applyAlignment="1">
      <alignment horizontal="right" vertical="center"/>
    </xf>
    <xf numFmtId="0" fontId="14" fillId="4" borderId="1" xfId="5" applyFont="1" applyFill="1" applyBorder="1" applyAlignment="1">
      <alignment horizontal="center" vertical="center"/>
    </xf>
    <xf numFmtId="164" fontId="14" fillId="4" borderId="1" xfId="1" applyFont="1" applyFill="1" applyBorder="1" applyAlignment="1">
      <alignment horizontal="right" vertical="center"/>
    </xf>
    <xf numFmtId="167" fontId="14" fillId="4" borderId="1" xfId="4" applyNumberFormat="1" applyFont="1" applyFill="1" applyBorder="1" applyAlignment="1">
      <alignment horizontal="right" vertical="center"/>
    </xf>
    <xf numFmtId="166" fontId="12" fillId="2" borderId="1" xfId="4" applyNumberFormat="1" applyFont="1" applyFill="1" applyBorder="1" applyAlignment="1">
      <alignment horizontal="right" vertical="center"/>
    </xf>
    <xf numFmtId="167" fontId="12" fillId="2" borderId="1" xfId="4" applyNumberFormat="1" applyFont="1" applyFill="1" applyBorder="1" applyAlignment="1">
      <alignment horizontal="right" vertical="center"/>
    </xf>
    <xf numFmtId="166" fontId="9" fillId="2" borderId="1" xfId="4" applyNumberFormat="1" applyFont="1" applyFill="1" applyBorder="1" applyAlignment="1">
      <alignment horizontal="right" vertical="center"/>
    </xf>
    <xf numFmtId="167" fontId="9" fillId="2" borderId="1" xfId="4" applyNumberFormat="1" applyFont="1" applyFill="1" applyBorder="1" applyAlignment="1">
      <alignment horizontal="right" vertical="center"/>
    </xf>
    <xf numFmtId="166" fontId="9" fillId="4" borderId="1" xfId="4" applyNumberFormat="1" applyFont="1" applyFill="1" applyBorder="1" applyAlignment="1">
      <alignment horizontal="right" vertical="center"/>
    </xf>
    <xf numFmtId="167" fontId="12" fillId="4" borderId="1" xfId="4" applyNumberFormat="1" applyFont="1" applyFill="1" applyBorder="1" applyAlignment="1">
      <alignment horizontal="right" vertical="center"/>
    </xf>
    <xf numFmtId="166" fontId="13" fillId="2" borderId="1" xfId="4" applyNumberFormat="1" applyFont="1" applyFill="1" applyBorder="1" applyAlignment="1">
      <alignment horizontal="right" vertical="center"/>
    </xf>
    <xf numFmtId="167" fontId="13" fillId="2" borderId="1" xfId="4" applyNumberFormat="1" applyFont="1" applyFill="1" applyBorder="1" applyAlignment="1">
      <alignment horizontal="right" vertical="center"/>
    </xf>
    <xf numFmtId="0" fontId="15" fillId="2" borderId="1" xfId="5" applyFont="1" applyFill="1" applyBorder="1" applyAlignment="1">
      <alignment horizontal="left" vertical="center" wrapText="1"/>
    </xf>
    <xf numFmtId="0" fontId="9" fillId="0" borderId="2" xfId="5" applyFont="1" applyBorder="1" applyAlignment="1">
      <alignment horizontal="left" vertical="center"/>
    </xf>
    <xf numFmtId="0" fontId="9" fillId="0" borderId="1" xfId="5" applyFont="1" applyBorder="1" applyAlignment="1">
      <alignment vertical="center"/>
    </xf>
    <xf numFmtId="9" fontId="2" fillId="0" borderId="0" xfId="0" applyNumberFormat="1" applyFont="1" applyAlignment="1">
      <alignment horizontal="left" vertical="center"/>
    </xf>
    <xf numFmtId="170" fontId="12" fillId="2" borderId="0" xfId="4" applyNumberFormat="1" applyFont="1" applyFill="1" applyBorder="1" applyAlignment="1">
      <alignment horizontal="right" vertical="center"/>
    </xf>
    <xf numFmtId="167" fontId="12" fillId="2" borderId="0" xfId="4" applyNumberFormat="1" applyFont="1" applyFill="1" applyBorder="1" applyAlignment="1">
      <alignment horizontal="right" vertical="center"/>
    </xf>
    <xf numFmtId="167" fontId="12" fillId="4" borderId="0" xfId="4" applyNumberFormat="1" applyFont="1" applyFill="1" applyBorder="1" applyAlignment="1">
      <alignment horizontal="right" vertical="center"/>
    </xf>
    <xf numFmtId="167" fontId="0" fillId="0" borderId="0" xfId="5" applyNumberFormat="1" applyFont="1" applyAlignment="1">
      <alignment vertical="center"/>
    </xf>
    <xf numFmtId="167" fontId="13" fillId="2" borderId="0" xfId="4" applyNumberFormat="1" applyFont="1" applyFill="1" applyBorder="1" applyAlignment="1">
      <alignment horizontal="right" vertical="center"/>
    </xf>
    <xf numFmtId="169" fontId="0" fillId="0" borderId="0" xfId="5" applyNumberFormat="1" applyFont="1" applyAlignment="1">
      <alignment vertical="center"/>
    </xf>
    <xf numFmtId="0" fontId="9" fillId="0" borderId="0" xfId="5" applyFont="1" applyAlignment="1">
      <alignment horizontal="left" vertical="center"/>
    </xf>
    <xf numFmtId="0" fontId="17" fillId="0" borderId="0" xfId="5" applyAlignment="1">
      <alignment vertical="center"/>
    </xf>
    <xf numFmtId="0" fontId="11" fillId="6" borderId="1" xfId="5" applyFont="1" applyFill="1" applyBorder="1" applyAlignment="1">
      <alignment horizontal="center" vertical="center"/>
    </xf>
    <xf numFmtId="0" fontId="11" fillId="4" borderId="1" xfId="5" applyFont="1" applyFill="1" applyBorder="1" applyAlignment="1">
      <alignment horizontal="center" vertical="center" wrapText="1"/>
    </xf>
    <xf numFmtId="0" fontId="11" fillId="4" borderId="1" xfId="5" applyFont="1" applyFill="1" applyBorder="1" applyAlignment="1">
      <alignment horizontal="center" vertical="center"/>
    </xf>
    <xf numFmtId="0" fontId="2" fillId="0" borderId="0" xfId="5" applyFont="1" applyAlignment="1">
      <alignment horizontal="center" vertical="center"/>
    </xf>
    <xf numFmtId="2" fontId="12" fillId="7" borderId="1" xfId="5" applyNumberFormat="1" applyFont="1" applyFill="1" applyBorder="1" applyAlignment="1">
      <alignment horizontal="center" vertical="center"/>
    </xf>
    <xf numFmtId="0" fontId="12" fillId="0" borderId="1" xfId="5" applyFont="1" applyBorder="1" applyAlignment="1">
      <alignment horizontal="center" vertical="center"/>
    </xf>
    <xf numFmtId="167" fontId="12" fillId="8" borderId="1" xfId="5" applyNumberFormat="1" applyFont="1" applyFill="1" applyBorder="1" applyAlignment="1">
      <alignment horizontal="center" vertical="center"/>
    </xf>
    <xf numFmtId="0" fontId="2" fillId="0" borderId="0" xfId="5" applyFont="1" applyAlignment="1">
      <alignment horizontal="left" vertical="center"/>
    </xf>
    <xf numFmtId="9" fontId="2" fillId="0" borderId="0" xfId="5" applyNumberFormat="1" applyFont="1" applyAlignment="1">
      <alignment horizontal="left" vertical="center"/>
    </xf>
    <xf numFmtId="0" fontId="3" fillId="0" borderId="0" xfId="5" applyFont="1" applyAlignment="1">
      <alignment vertical="center"/>
    </xf>
    <xf numFmtId="0" fontId="2" fillId="0" borderId="1" xfId="5" applyFont="1" applyBorder="1" applyAlignment="1">
      <alignment horizontal="center" vertical="center"/>
    </xf>
    <xf numFmtId="2" fontId="14" fillId="4" borderId="1" xfId="5" applyNumberFormat="1" applyFont="1" applyFill="1" applyBorder="1" applyAlignment="1">
      <alignment horizontal="center" vertical="center"/>
    </xf>
    <xf numFmtId="167" fontId="14" fillId="4" borderId="1" xfId="5" applyNumberFormat="1" applyFont="1" applyFill="1" applyBorder="1" applyAlignment="1">
      <alignment horizontal="right" vertical="center"/>
    </xf>
    <xf numFmtId="2" fontId="17" fillId="0" borderId="0" xfId="5" applyNumberFormat="1" applyAlignment="1">
      <alignment vertical="center"/>
    </xf>
    <xf numFmtId="0" fontId="17" fillId="0" borderId="0" xfId="5"/>
    <xf numFmtId="167" fontId="0" fillId="0" borderId="15" xfId="5" applyNumberFormat="1" applyFont="1" applyBorder="1" applyAlignment="1">
      <alignment vertical="center"/>
    </xf>
    <xf numFmtId="2" fontId="12" fillId="0" borderId="1" xfId="5" applyNumberFormat="1" applyFont="1" applyBorder="1" applyAlignment="1">
      <alignment horizontal="center" vertical="center"/>
    </xf>
    <xf numFmtId="167" fontId="12" fillId="0" borderId="1" xfId="5" applyNumberFormat="1" applyFont="1" applyBorder="1" applyAlignment="1">
      <alignment horizontal="center" vertical="center"/>
    </xf>
    <xf numFmtId="2" fontId="2" fillId="0" borderId="1" xfId="5" applyNumberFormat="1" applyFont="1" applyBorder="1" applyAlignment="1">
      <alignment horizontal="center" vertical="center"/>
    </xf>
    <xf numFmtId="2" fontId="2" fillId="0" borderId="1" xfId="0" applyNumberFormat="1" applyFont="1" applyBorder="1" applyAlignment="1">
      <alignment horizontal="center" vertical="center"/>
    </xf>
    <xf numFmtId="166" fontId="10" fillId="0" borderId="1" xfId="2" applyNumberFormat="1" applyFill="1" applyBorder="1" applyAlignment="1">
      <alignment horizontal="left" vertical="center" wrapText="1"/>
    </xf>
    <xf numFmtId="0" fontId="5" fillId="2" borderId="1" xfId="5" applyFont="1" applyFill="1" applyBorder="1" applyAlignment="1">
      <alignment horizontal="center" vertical="center"/>
    </xf>
    <xf numFmtId="0" fontId="14" fillId="4" borderId="1" xfId="5" applyFont="1" applyFill="1" applyBorder="1" applyAlignment="1">
      <alignment horizontal="center" vertical="center"/>
    </xf>
    <xf numFmtId="0" fontId="11" fillId="6" borderId="1" xfId="0" applyFont="1" applyFill="1" applyBorder="1" applyAlignment="1">
      <alignment horizontal="center" vertical="center"/>
    </xf>
    <xf numFmtId="0" fontId="11" fillId="6" borderId="1" xfId="5" applyFont="1" applyFill="1" applyBorder="1" applyAlignment="1">
      <alignment horizontal="center" vertical="center"/>
    </xf>
    <xf numFmtId="0" fontId="5" fillId="2" borderId="1" xfId="5" applyFont="1" applyFill="1" applyBorder="1" applyAlignment="1">
      <alignment horizontal="center" vertical="center"/>
    </xf>
    <xf numFmtId="0" fontId="11" fillId="6" borderId="1" xfId="5" applyFont="1" applyFill="1" applyBorder="1" applyAlignment="1">
      <alignment horizontal="center" vertical="center"/>
    </xf>
    <xf numFmtId="0" fontId="12" fillId="7" borderId="1" xfId="0" applyFont="1" applyFill="1" applyBorder="1" applyAlignment="1">
      <alignment horizontal="left" vertical="center" wrapText="1"/>
    </xf>
    <xf numFmtId="0" fontId="12" fillId="7" borderId="2" xfId="5" applyFont="1" applyFill="1" applyBorder="1" applyAlignment="1">
      <alignment horizontal="left" vertical="center" wrapText="1"/>
    </xf>
    <xf numFmtId="0" fontId="12" fillId="7" borderId="3" xfId="5" applyFont="1" applyFill="1" applyBorder="1" applyAlignment="1">
      <alignment horizontal="left" vertical="center" wrapText="1"/>
    </xf>
    <xf numFmtId="0" fontId="12" fillId="7" borderId="4" xfId="5" applyFont="1" applyFill="1" applyBorder="1" applyAlignment="1">
      <alignment horizontal="left" vertical="center" wrapText="1"/>
    </xf>
    <xf numFmtId="0" fontId="12" fillId="7" borderId="1" xfId="5" applyFont="1" applyFill="1" applyBorder="1" applyAlignment="1">
      <alignment horizontal="left" vertical="center" wrapText="1"/>
    </xf>
    <xf numFmtId="0" fontId="11" fillId="0" borderId="1" xfId="0" applyFont="1" applyBorder="1" applyAlignment="1">
      <alignment horizontal="left" vertical="center" wrapText="1"/>
    </xf>
    <xf numFmtId="0" fontId="2" fillId="0" borderId="1" xfId="0" applyFont="1" applyBorder="1" applyAlignment="1">
      <alignment horizontal="left" vertical="center" wrapText="1"/>
    </xf>
    <xf numFmtId="164" fontId="9" fillId="4" borderId="1" xfId="1" applyFont="1" applyFill="1" applyBorder="1" applyAlignment="1">
      <alignment horizontal="center" vertical="center"/>
    </xf>
    <xf numFmtId="164" fontId="9" fillId="0" borderId="1" xfId="1" applyFont="1" applyFill="1" applyBorder="1" applyAlignment="1">
      <alignment horizontal="center" vertical="center"/>
    </xf>
    <xf numFmtId="164" fontId="9" fillId="0" borderId="1" xfId="1" applyFont="1" applyFill="1" applyBorder="1" applyAlignment="1" applyProtection="1">
      <alignment horizontal="center" vertical="center"/>
    </xf>
    <xf numFmtId="0" fontId="9" fillId="0" borderId="1" xfId="5" applyFont="1" applyBorder="1" applyAlignment="1">
      <alignment horizontal="center" vertical="center"/>
    </xf>
    <xf numFmtId="0" fontId="5" fillId="2" borderId="1" xfId="5" applyFont="1" applyFill="1" applyBorder="1" applyAlignment="1">
      <alignment horizontal="center" vertical="center" wrapText="1"/>
    </xf>
    <xf numFmtId="0" fontId="0" fillId="0" borderId="1" xfId="5" applyFont="1" applyBorder="1" applyAlignment="1">
      <alignment horizontal="center" vertical="center"/>
    </xf>
    <xf numFmtId="0" fontId="4" fillId="0" borderId="1" xfId="5" applyFont="1" applyBorder="1" applyAlignment="1">
      <alignment horizontal="center" vertical="center" wrapText="1"/>
    </xf>
    <xf numFmtId="0" fontId="4" fillId="0" borderId="1" xfId="5" applyFont="1" applyBorder="1" applyAlignment="1">
      <alignment horizontal="center" vertical="center"/>
    </xf>
    <xf numFmtId="166" fontId="0" fillId="0" borderId="1" xfId="4" applyNumberFormat="1" applyFont="1" applyBorder="1" applyAlignment="1">
      <alignment horizontal="center" vertical="center"/>
    </xf>
    <xf numFmtId="0" fontId="6" fillId="3" borderId="1" xfId="5" applyFont="1" applyFill="1" applyBorder="1" applyAlignment="1">
      <alignment horizontal="center" vertical="center"/>
    </xf>
    <xf numFmtId="0" fontId="9" fillId="4" borderId="1" xfId="5" applyFont="1" applyFill="1" applyBorder="1" applyAlignment="1">
      <alignment horizontal="left" vertical="center"/>
    </xf>
    <xf numFmtId="0" fontId="9" fillId="0" borderId="1" xfId="5" applyFont="1" applyBorder="1" applyAlignment="1">
      <alignment horizontal="left" vertical="center"/>
    </xf>
    <xf numFmtId="0" fontId="9" fillId="4" borderId="2" xfId="5" applyFont="1" applyFill="1" applyBorder="1" applyAlignment="1">
      <alignment horizontal="left" vertical="center"/>
    </xf>
    <xf numFmtId="0" fontId="9" fillId="4" borderId="4" xfId="5" applyFont="1" applyFill="1" applyBorder="1" applyAlignment="1">
      <alignment horizontal="left" vertical="center"/>
    </xf>
    <xf numFmtId="0" fontId="9" fillId="0" borderId="2" xfId="5" applyFont="1" applyBorder="1" applyAlignment="1">
      <alignment horizontal="left" vertical="center" wrapText="1"/>
    </xf>
    <xf numFmtId="0" fontId="9" fillId="0" borderId="3" xfId="5" applyFont="1" applyBorder="1" applyAlignment="1">
      <alignment horizontal="left" vertical="center" wrapText="1"/>
    </xf>
    <xf numFmtId="0" fontId="9" fillId="0" borderId="4" xfId="5" applyFont="1" applyBorder="1" applyAlignment="1">
      <alignment horizontal="left" vertical="center" wrapText="1"/>
    </xf>
    <xf numFmtId="0" fontId="17" fillId="0" borderId="2" xfId="5" applyBorder="1" applyAlignment="1">
      <alignment horizontal="center" vertical="center"/>
    </xf>
    <xf numFmtId="0" fontId="17" fillId="0" borderId="3" xfId="5" applyBorder="1" applyAlignment="1">
      <alignment horizontal="center" vertical="center"/>
    </xf>
    <xf numFmtId="0" fontId="17" fillId="0" borderId="4" xfId="5" applyBorder="1" applyAlignment="1">
      <alignment horizontal="center" vertical="center"/>
    </xf>
    <xf numFmtId="0" fontId="12" fillId="7" borderId="2"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12" fillId="7" borderId="4" xfId="0" applyFont="1" applyFill="1" applyBorder="1" applyAlignment="1">
      <alignment horizontal="left" vertical="center" wrapText="1"/>
    </xf>
    <xf numFmtId="0" fontId="12" fillId="0" borderId="1" xfId="5" applyFont="1" applyBorder="1" applyAlignment="1">
      <alignment horizontal="left" vertical="center" wrapText="1"/>
    </xf>
    <xf numFmtId="0" fontId="14" fillId="4" borderId="1" xfId="5" applyFont="1" applyFill="1" applyBorder="1" applyAlignment="1">
      <alignment horizontal="center" vertical="center"/>
    </xf>
    <xf numFmtId="0" fontId="17" fillId="0" borderId="1" xfId="5" applyBorder="1" applyAlignment="1">
      <alignment horizontal="center" vertical="center"/>
    </xf>
    <xf numFmtId="0" fontId="5" fillId="2" borderId="1" xfId="0" applyFont="1" applyFill="1" applyBorder="1" applyAlignment="1">
      <alignment horizontal="center" vertical="center"/>
    </xf>
    <xf numFmtId="0" fontId="11" fillId="6" borderId="1" xfId="0" applyFont="1" applyFill="1" applyBorder="1" applyAlignment="1">
      <alignment horizontal="center" vertical="center"/>
    </xf>
    <xf numFmtId="0" fontId="9" fillId="9" borderId="1" xfId="5" applyFont="1" applyFill="1" applyBorder="1" applyAlignment="1">
      <alignment horizontal="center" vertical="center"/>
    </xf>
    <xf numFmtId="0" fontId="12" fillId="0" borderId="5" xfId="5" applyFont="1" applyBorder="1" applyAlignment="1">
      <alignment horizontal="center" vertical="center"/>
    </xf>
    <xf numFmtId="0" fontId="12" fillId="0" borderId="6" xfId="5" applyFont="1" applyBorder="1" applyAlignment="1">
      <alignment horizontal="center" vertical="center"/>
    </xf>
    <xf numFmtId="0" fontId="12" fillId="0" borderId="7" xfId="5" applyFont="1" applyBorder="1" applyAlignment="1">
      <alignment horizontal="center" vertical="center"/>
    </xf>
    <xf numFmtId="0" fontId="12" fillId="0" borderId="10" xfId="5" applyFont="1" applyBorder="1" applyAlignment="1">
      <alignment horizontal="center" vertical="center"/>
    </xf>
    <xf numFmtId="0" fontId="12" fillId="0" borderId="11" xfId="5" applyFont="1" applyBorder="1" applyAlignment="1">
      <alignment horizontal="center" vertical="center"/>
    </xf>
    <xf numFmtId="0" fontId="12" fillId="0" borderId="12" xfId="5" applyFont="1" applyBorder="1" applyAlignment="1">
      <alignment horizontal="center" vertical="center"/>
    </xf>
    <xf numFmtId="0" fontId="5" fillId="2" borderId="5" xfId="5" applyFont="1" applyFill="1" applyBorder="1" applyAlignment="1">
      <alignment horizontal="center" vertical="center"/>
    </xf>
    <xf numFmtId="0" fontId="5" fillId="2" borderId="6" xfId="5" applyFont="1" applyFill="1" applyBorder="1" applyAlignment="1">
      <alignment horizontal="center" vertical="center"/>
    </xf>
    <xf numFmtId="0" fontId="5" fillId="2" borderId="7" xfId="5" applyFont="1" applyFill="1" applyBorder="1" applyAlignment="1">
      <alignment horizontal="center" vertical="center"/>
    </xf>
    <xf numFmtId="0" fontId="5" fillId="2" borderId="8" xfId="5" applyFont="1" applyFill="1" applyBorder="1" applyAlignment="1">
      <alignment horizontal="center" vertical="center"/>
    </xf>
    <xf numFmtId="0" fontId="5" fillId="2" borderId="0" xfId="5" applyFont="1" applyFill="1" applyAlignment="1">
      <alignment horizontal="center" vertical="center"/>
    </xf>
    <xf numFmtId="0" fontId="5" fillId="2" borderId="9" xfId="5" applyFont="1" applyFill="1" applyBorder="1" applyAlignment="1">
      <alignment horizontal="center" vertical="center"/>
    </xf>
    <xf numFmtId="0" fontId="5" fillId="2" borderId="10" xfId="5" applyFont="1" applyFill="1" applyBorder="1" applyAlignment="1">
      <alignment horizontal="center" vertical="center"/>
    </xf>
    <xf numFmtId="0" fontId="5" fillId="2" borderId="11" xfId="5" applyFont="1" applyFill="1" applyBorder="1" applyAlignment="1">
      <alignment horizontal="center" vertical="center"/>
    </xf>
    <xf numFmtId="0" fontId="5" fillId="2" borderId="12" xfId="5" applyFont="1" applyFill="1" applyBorder="1" applyAlignment="1">
      <alignment horizontal="center" vertical="center"/>
    </xf>
    <xf numFmtId="0" fontId="5" fillId="0" borderId="1" xfId="5" applyFont="1" applyBorder="1" applyAlignment="1">
      <alignment horizontal="center" vertical="center" wrapText="1"/>
    </xf>
    <xf numFmtId="0" fontId="2" fillId="7" borderId="2"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7" borderId="4" xfId="0" applyFont="1" applyFill="1" applyBorder="1" applyAlignment="1">
      <alignment horizontal="left" vertical="center" wrapText="1"/>
    </xf>
    <xf numFmtId="0" fontId="2" fillId="7" borderId="1" xfId="0" applyFont="1" applyFill="1" applyBorder="1" applyAlignment="1">
      <alignment horizontal="left" vertical="center" wrapText="1"/>
    </xf>
    <xf numFmtId="0" fontId="12" fillId="0" borderId="1" xfId="0" applyFont="1" applyBorder="1" applyAlignment="1">
      <alignment horizontal="left" vertical="center" wrapText="1"/>
    </xf>
    <xf numFmtId="0" fontId="9" fillId="0" borderId="1" xfId="0" applyFont="1" applyBorder="1" applyAlignment="1">
      <alignment horizontal="left" vertical="center" wrapText="1"/>
    </xf>
    <xf numFmtId="0" fontId="5" fillId="0" borderId="1" xfId="5" applyFont="1" applyBorder="1" applyAlignment="1">
      <alignment horizontal="center" vertical="center"/>
    </xf>
    <xf numFmtId="0" fontId="9" fillId="2" borderId="1" xfId="5" applyFont="1" applyFill="1" applyBorder="1" applyAlignment="1">
      <alignment vertical="center"/>
    </xf>
    <xf numFmtId="0" fontId="2" fillId="0" borderId="1" xfId="5" applyFont="1" applyBorder="1" applyAlignment="1">
      <alignment horizontal="left" vertical="center" wrapText="1"/>
    </xf>
    <xf numFmtId="0" fontId="9" fillId="4" borderId="1" xfId="5" applyFont="1" applyFill="1" applyBorder="1" applyAlignment="1">
      <alignment horizontal="center" vertical="center" wrapText="1"/>
    </xf>
    <xf numFmtId="0" fontId="9" fillId="4" borderId="1" xfId="5" applyFont="1" applyFill="1" applyBorder="1" applyAlignment="1">
      <alignment vertical="center"/>
    </xf>
    <xf numFmtId="166" fontId="0" fillId="0" borderId="2" xfId="4" applyNumberFormat="1" applyFont="1" applyBorder="1" applyAlignment="1">
      <alignment horizontal="center" vertical="center"/>
    </xf>
    <xf numFmtId="166" fontId="0" fillId="0" borderId="4" xfId="4" applyNumberFormat="1" applyFont="1" applyBorder="1" applyAlignment="1">
      <alignment horizontal="center" vertical="center"/>
    </xf>
    <xf numFmtId="169" fontId="13" fillId="2" borderId="1" xfId="4" applyNumberFormat="1" applyFont="1" applyFill="1" applyBorder="1" applyAlignment="1">
      <alignment horizontal="center" vertical="center" wrapText="1"/>
    </xf>
    <xf numFmtId="0" fontId="9" fillId="2" borderId="5" xfId="5" applyFont="1" applyFill="1" applyBorder="1" applyAlignment="1">
      <alignment horizontal="center" vertical="center"/>
    </xf>
    <xf numFmtId="0" fontId="9" fillId="2" borderId="7" xfId="5" applyFont="1" applyFill="1" applyBorder="1" applyAlignment="1">
      <alignment horizontal="center" vertical="center"/>
    </xf>
    <xf numFmtId="0" fontId="9" fillId="2" borderId="8" xfId="5" applyFont="1" applyFill="1" applyBorder="1" applyAlignment="1">
      <alignment horizontal="center" vertical="center"/>
    </xf>
    <xf numFmtId="0" fontId="9" fillId="2" borderId="9" xfId="5" applyFont="1" applyFill="1" applyBorder="1" applyAlignment="1">
      <alignment horizontal="center" vertical="center"/>
    </xf>
    <xf numFmtId="0" fontId="9" fillId="2" borderId="10" xfId="5" applyFont="1" applyFill="1" applyBorder="1" applyAlignment="1">
      <alignment horizontal="center" vertical="center"/>
    </xf>
    <xf numFmtId="0" fontId="9" fillId="2" borderId="12" xfId="5" applyFont="1" applyFill="1" applyBorder="1" applyAlignment="1">
      <alignment horizontal="center" vertical="center"/>
    </xf>
    <xf numFmtId="169" fontId="13" fillId="2" borderId="1" xfId="4" applyNumberFormat="1" applyFont="1" applyFill="1" applyBorder="1" applyAlignment="1">
      <alignment horizontal="left" vertical="center" wrapText="1"/>
    </xf>
    <xf numFmtId="166" fontId="0" fillId="0" borderId="5" xfId="4" applyNumberFormat="1" applyFont="1" applyFill="1" applyBorder="1" applyAlignment="1" applyProtection="1">
      <alignment horizontal="center" vertical="center"/>
    </xf>
    <xf numFmtId="166" fontId="0" fillId="0" borderId="7" xfId="4" applyNumberFormat="1" applyFont="1" applyFill="1" applyBorder="1" applyAlignment="1" applyProtection="1">
      <alignment horizontal="center" vertical="center"/>
    </xf>
    <xf numFmtId="166" fontId="0" fillId="0" borderId="8" xfId="4" applyNumberFormat="1" applyFont="1" applyFill="1" applyBorder="1" applyAlignment="1" applyProtection="1">
      <alignment horizontal="center" vertical="center"/>
    </xf>
    <xf numFmtId="166" fontId="0" fillId="0" borderId="9" xfId="4" applyNumberFormat="1" applyFont="1" applyFill="1" applyBorder="1" applyAlignment="1" applyProtection="1">
      <alignment horizontal="center" vertical="center"/>
    </xf>
    <xf numFmtId="166" fontId="0" fillId="0" borderId="10" xfId="4" applyNumberFormat="1" applyFont="1" applyFill="1" applyBorder="1" applyAlignment="1" applyProtection="1">
      <alignment horizontal="center" vertical="center"/>
    </xf>
    <xf numFmtId="166" fontId="0" fillId="0" borderId="12" xfId="4" applyNumberFormat="1" applyFont="1" applyFill="1" applyBorder="1" applyAlignment="1" applyProtection="1">
      <alignment horizontal="center" vertical="center"/>
    </xf>
    <xf numFmtId="0" fontId="15" fillId="2" borderId="13" xfId="5" applyFont="1" applyFill="1" applyBorder="1" applyAlignment="1">
      <alignment horizontal="left" vertical="center" wrapText="1"/>
    </xf>
    <xf numFmtId="0" fontId="15" fillId="2" borderId="14" xfId="5" applyFont="1" applyFill="1" applyBorder="1" applyAlignment="1">
      <alignment horizontal="left" vertical="center" wrapText="1"/>
    </xf>
    <xf numFmtId="169" fontId="14" fillId="2" borderId="5" xfId="4" applyNumberFormat="1" applyFont="1" applyFill="1" applyBorder="1" applyAlignment="1">
      <alignment horizontal="center" vertical="center" wrapText="1"/>
    </xf>
    <xf numFmtId="169" fontId="14" fillId="2" borderId="6" xfId="4" applyNumberFormat="1" applyFont="1" applyFill="1" applyBorder="1" applyAlignment="1">
      <alignment horizontal="center" vertical="center" wrapText="1"/>
    </xf>
    <xf numFmtId="169" fontId="14" fillId="2" borderId="7" xfId="4" applyNumberFormat="1" applyFont="1" applyFill="1" applyBorder="1" applyAlignment="1">
      <alignment horizontal="center" vertical="center" wrapText="1"/>
    </xf>
    <xf numFmtId="169" fontId="14" fillId="2" borderId="10" xfId="4" applyNumberFormat="1" applyFont="1" applyFill="1" applyBorder="1" applyAlignment="1">
      <alignment horizontal="center" vertical="center" wrapText="1"/>
    </xf>
    <xf numFmtId="169" fontId="14" fillId="2" borderId="11" xfId="4" applyNumberFormat="1" applyFont="1" applyFill="1" applyBorder="1" applyAlignment="1">
      <alignment horizontal="center" vertical="center" wrapText="1"/>
    </xf>
    <xf numFmtId="169" fontId="14" fillId="2" borderId="12" xfId="4" applyNumberFormat="1" applyFont="1" applyFill="1" applyBorder="1" applyAlignment="1">
      <alignment horizontal="center" vertical="center" wrapText="1"/>
    </xf>
    <xf numFmtId="0" fontId="9" fillId="4" borderId="2" xfId="5" applyFont="1" applyFill="1" applyBorder="1" applyAlignment="1">
      <alignment horizontal="center" vertical="center"/>
    </xf>
    <xf numFmtId="0" fontId="9" fillId="4" borderId="4" xfId="5" applyFont="1" applyFill="1" applyBorder="1" applyAlignment="1">
      <alignment horizontal="center" vertical="center"/>
    </xf>
    <xf numFmtId="0" fontId="9" fillId="0" borderId="2" xfId="5" applyFont="1" applyBorder="1" applyAlignment="1">
      <alignment horizontal="center" vertical="center"/>
    </xf>
    <xf numFmtId="0" fontId="9" fillId="0" borderId="4" xfId="5" applyFont="1" applyBorder="1" applyAlignment="1">
      <alignment horizontal="center" vertical="center"/>
    </xf>
    <xf numFmtId="169" fontId="13" fillId="0" borderId="2" xfId="4" applyNumberFormat="1" applyFont="1" applyFill="1" applyBorder="1" applyAlignment="1">
      <alignment horizontal="center" vertical="center" wrapText="1"/>
    </xf>
    <xf numFmtId="169" fontId="13" fillId="0" borderId="3" xfId="4" applyNumberFormat="1" applyFont="1" applyFill="1" applyBorder="1" applyAlignment="1">
      <alignment horizontal="center" vertical="center" wrapText="1"/>
    </xf>
    <xf numFmtId="169" fontId="13" fillId="0" borderId="4" xfId="4" applyNumberFormat="1" applyFont="1" applyFill="1" applyBorder="1" applyAlignment="1">
      <alignment horizontal="center" vertical="center" wrapText="1"/>
    </xf>
    <xf numFmtId="0" fontId="9" fillId="0" borderId="1" xfId="5" applyFont="1" applyBorder="1" applyAlignment="1">
      <alignment horizontal="left" vertical="center" wrapText="1"/>
    </xf>
    <xf numFmtId="166" fontId="0" fillId="4" borderId="1" xfId="4" applyNumberFormat="1" applyFont="1" applyFill="1" applyBorder="1" applyAlignment="1" applyProtection="1">
      <alignment horizontal="center" vertical="center"/>
    </xf>
    <xf numFmtId="0" fontId="9" fillId="0" borderId="5" xfId="5" applyFont="1" applyBorder="1" applyAlignment="1">
      <alignment horizontal="center" vertical="center"/>
    </xf>
    <xf numFmtId="0" fontId="9" fillId="0" borderId="7" xfId="5" applyFont="1" applyBorder="1" applyAlignment="1">
      <alignment horizontal="center" vertical="center"/>
    </xf>
    <xf numFmtId="0" fontId="9" fillId="0" borderId="8" xfId="5" applyFont="1" applyBorder="1" applyAlignment="1">
      <alignment horizontal="center" vertical="center"/>
    </xf>
    <xf numFmtId="0" fontId="9" fillId="0" borderId="9" xfId="5" applyFont="1" applyBorder="1" applyAlignment="1">
      <alignment horizontal="center" vertical="center"/>
    </xf>
    <xf numFmtId="0" fontId="9" fillId="0" borderId="10" xfId="5" applyFont="1" applyBorder="1" applyAlignment="1">
      <alignment horizontal="center" vertical="center"/>
    </xf>
    <xf numFmtId="0" fontId="9" fillId="0" borderId="12" xfId="5" applyFont="1" applyBorder="1" applyAlignment="1">
      <alignment horizontal="center" vertical="center"/>
    </xf>
    <xf numFmtId="0" fontId="3" fillId="0" borderId="2" xfId="5" applyFont="1" applyBorder="1" applyAlignment="1">
      <alignment horizontal="center" vertical="center"/>
    </xf>
    <xf numFmtId="0" fontId="3" fillId="0" borderId="3" xfId="5" applyFont="1" applyBorder="1" applyAlignment="1">
      <alignment horizontal="center" vertical="center"/>
    </xf>
    <xf numFmtId="0" fontId="3" fillId="0" borderId="4" xfId="5" applyFont="1" applyBorder="1" applyAlignment="1">
      <alignment horizontal="center" vertical="center"/>
    </xf>
    <xf numFmtId="0" fontId="16" fillId="0" borderId="2" xfId="5" applyFont="1" applyBorder="1" applyAlignment="1">
      <alignment horizontal="left" vertical="center" wrapText="1"/>
    </xf>
    <xf numFmtId="0" fontId="16" fillId="0" borderId="3" xfId="5" applyFont="1" applyBorder="1" applyAlignment="1">
      <alignment horizontal="left" vertical="center" wrapText="1"/>
    </xf>
    <xf numFmtId="0" fontId="16" fillId="0" borderId="4" xfId="5" applyFont="1" applyBorder="1" applyAlignment="1">
      <alignment horizontal="left" vertical="center" wrapText="1"/>
    </xf>
    <xf numFmtId="0" fontId="16" fillId="0" borderId="1" xfId="5" applyFont="1" applyBorder="1" applyAlignment="1">
      <alignment horizontal="left" vertical="center" wrapText="1"/>
    </xf>
    <xf numFmtId="0" fontId="9" fillId="0" borderId="1" xfId="5" applyFont="1" applyBorder="1" applyAlignment="1">
      <alignment horizontal="center" vertical="center" wrapText="1"/>
    </xf>
    <xf numFmtId="0" fontId="5" fillId="0" borderId="2" xfId="5" applyFont="1" applyBorder="1" applyAlignment="1">
      <alignment horizontal="center" vertical="center"/>
    </xf>
    <xf numFmtId="0" fontId="5" fillId="0" borderId="3" xfId="5" applyFont="1" applyBorder="1" applyAlignment="1">
      <alignment horizontal="center" vertical="center"/>
    </xf>
    <xf numFmtId="0" fontId="5" fillId="0" borderId="4" xfId="5" applyFont="1" applyBorder="1" applyAlignment="1">
      <alignment horizontal="center" vertical="center"/>
    </xf>
    <xf numFmtId="0" fontId="0" fillId="0" borderId="14" xfId="5" applyFont="1" applyBorder="1" applyAlignment="1">
      <alignment horizontal="center" vertical="center"/>
    </xf>
    <xf numFmtId="0" fontId="16" fillId="0" borderId="1" xfId="5" applyFont="1" applyBorder="1" applyAlignment="1">
      <alignment horizontal="justify" vertical="center" wrapText="1"/>
    </xf>
    <xf numFmtId="0" fontId="9" fillId="0" borderId="2" xfId="5" applyFont="1" applyBorder="1" applyAlignment="1">
      <alignment horizontal="center" vertical="center" wrapText="1"/>
    </xf>
    <xf numFmtId="0" fontId="9" fillId="0" borderId="4" xfId="5" applyFont="1" applyBorder="1" applyAlignment="1">
      <alignment horizontal="center" vertical="center" wrapText="1"/>
    </xf>
  </cellXfs>
  <cellStyles count="9">
    <cellStyle name="Hipervínculo" xfId="2" builtinId="8"/>
    <cellStyle name="Hipervínculo 2" xfId="8" xr:uid="{0F1CCFA3-0539-4429-A428-03CA2720DE4F}"/>
    <cellStyle name="Millares" xfId="1" builtinId="3"/>
    <cellStyle name="Millares 2" xfId="3" xr:uid="{00000000-0005-0000-0000-000031000000}"/>
    <cellStyle name="Moneda 2" xfId="4" xr:uid="{00000000-0005-0000-0000-000032000000}"/>
    <cellStyle name="Moneda 3" xfId="7" xr:uid="{361C19F5-9D55-4104-AEAF-E8395C13827F}"/>
    <cellStyle name="Normal" xfId="0" builtinId="0"/>
    <cellStyle name="Normal 2" xfId="6" xr:uid="{7EA5D332-01A5-4253-8C5B-659027DB0222}"/>
    <cellStyle name="Normal 3" xfId="5" xr:uid="{00000000-0005-0000-0000-00003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4.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5.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6.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7.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12.png"/><Relationship Id="rId6" Type="http://schemas.openxmlformats.org/officeDocument/2006/relationships/image" Target="../media/image5.jpeg"/><Relationship Id="rId11" Type="http://schemas.openxmlformats.org/officeDocument/2006/relationships/image" Target="../media/image11.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4</xdr:col>
      <xdr:colOff>717176</xdr:colOff>
      <xdr:row>55</xdr:row>
      <xdr:rowOff>178695</xdr:rowOff>
    </xdr:from>
    <xdr:to>
      <xdr:col>7</xdr:col>
      <xdr:colOff>1389530</xdr:colOff>
      <xdr:row>55</xdr:row>
      <xdr:rowOff>1178509</xdr:rowOff>
    </xdr:to>
    <xdr:pic>
      <xdr:nvPicPr>
        <xdr:cNvPr id="24" name="Imagen 23">
          <a:extLst>
            <a:ext uri="{FF2B5EF4-FFF2-40B4-BE49-F238E27FC236}">
              <a16:creationId xmlns:a16="http://schemas.microsoft.com/office/drawing/2014/main" id="{D4C00370-20AB-4550-8C27-A1DA92B60C24}"/>
            </a:ext>
          </a:extLst>
        </xdr:cNvPr>
        <xdr:cNvPicPr>
          <a:picLocks noChangeAspect="1"/>
        </xdr:cNvPicPr>
      </xdr:nvPicPr>
      <xdr:blipFill>
        <a:blip xmlns:r="http://schemas.openxmlformats.org/officeDocument/2006/relationships" r:embed="rId1"/>
        <a:stretch>
          <a:fillRect/>
        </a:stretch>
      </xdr:blipFill>
      <xdr:spPr>
        <a:xfrm>
          <a:off x="6096000" y="14880813"/>
          <a:ext cx="4807324" cy="999814"/>
        </a:xfrm>
        <a:prstGeom prst="rect">
          <a:avLst/>
        </a:prstGeom>
      </xdr:spPr>
    </xdr:pic>
    <xdr:clientData/>
  </xdr:twoCellAnchor>
  <xdr:twoCellAnchor editAs="oneCell">
    <xdr:from>
      <xdr:col>0</xdr:col>
      <xdr:colOff>112058</xdr:colOff>
      <xdr:row>55</xdr:row>
      <xdr:rowOff>77412</xdr:rowOff>
    </xdr:from>
    <xdr:to>
      <xdr:col>2</xdr:col>
      <xdr:colOff>2095500</xdr:colOff>
      <xdr:row>55</xdr:row>
      <xdr:rowOff>2308410</xdr:rowOff>
    </xdr:to>
    <xdr:pic>
      <xdr:nvPicPr>
        <xdr:cNvPr id="23" name="Imagen 22">
          <a:extLst>
            <a:ext uri="{FF2B5EF4-FFF2-40B4-BE49-F238E27FC236}">
              <a16:creationId xmlns:a16="http://schemas.microsoft.com/office/drawing/2014/main" id="{3B4D59B1-581E-4FF3-92FC-9D1C0421041B}"/>
            </a:ext>
          </a:extLst>
        </xdr:cNvPr>
        <xdr:cNvPicPr>
          <a:picLocks noChangeAspect="1"/>
        </xdr:cNvPicPr>
      </xdr:nvPicPr>
      <xdr:blipFill rotWithShape="1">
        <a:blip xmlns:r="http://schemas.openxmlformats.org/officeDocument/2006/relationships" r:embed="rId2"/>
        <a:srcRect l="4422" t="16538" r="736" b="-178"/>
        <a:stretch/>
      </xdr:blipFill>
      <xdr:spPr>
        <a:xfrm>
          <a:off x="112058" y="14779530"/>
          <a:ext cx="4191001" cy="2230998"/>
        </a:xfrm>
        <a:prstGeom prst="rect">
          <a:avLst/>
        </a:prstGeom>
      </xdr:spPr>
    </xdr:pic>
    <xdr:clientData/>
  </xdr:twoCellAnchor>
  <xdr:twoCellAnchor editAs="oneCell">
    <xdr:from>
      <xdr:col>2</xdr:col>
      <xdr:colOff>1770529</xdr:colOff>
      <xdr:row>55</xdr:row>
      <xdr:rowOff>1725705</xdr:rowOff>
    </xdr:from>
    <xdr:to>
      <xdr:col>6</xdr:col>
      <xdr:colOff>348645</xdr:colOff>
      <xdr:row>55</xdr:row>
      <xdr:rowOff>4789240</xdr:rowOff>
    </xdr:to>
    <xdr:pic>
      <xdr:nvPicPr>
        <xdr:cNvPr id="12" name="Imagen 11">
          <a:extLst>
            <a:ext uri="{FF2B5EF4-FFF2-40B4-BE49-F238E27FC236}">
              <a16:creationId xmlns:a16="http://schemas.microsoft.com/office/drawing/2014/main" id="{4CC50114-E4D9-4039-8F2F-86BF65A6011D}"/>
            </a:ext>
          </a:extLst>
        </xdr:cNvPr>
        <xdr:cNvPicPr>
          <a:picLocks noChangeAspect="1"/>
        </xdr:cNvPicPr>
      </xdr:nvPicPr>
      <xdr:blipFill>
        <a:blip xmlns:r="http://schemas.openxmlformats.org/officeDocument/2006/relationships" r:embed="rId3"/>
        <a:stretch>
          <a:fillRect/>
        </a:stretch>
      </xdr:blipFill>
      <xdr:spPr>
        <a:xfrm>
          <a:off x="3978088" y="16427823"/>
          <a:ext cx="4438792" cy="3063535"/>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7" name="Imagen 6" descr="logo-01.jpg">
          <a:extLst>
            <a:ext uri="{FF2B5EF4-FFF2-40B4-BE49-F238E27FC236}">
              <a16:creationId xmlns:a16="http://schemas.microsoft.com/office/drawing/2014/main" id="{41C91D19-BA80-4892-815A-018B5877F6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5862" r="5809"/>
        <a:stretch>
          <a:fillRect/>
        </a:stretch>
      </xdr:blipFill>
      <xdr:spPr>
        <a:xfrm>
          <a:off x="64434" y="229721"/>
          <a:ext cx="2025177" cy="1204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85</xdr:row>
      <xdr:rowOff>66260</xdr:rowOff>
    </xdr:from>
    <xdr:to>
      <xdr:col>7</xdr:col>
      <xdr:colOff>1257836</xdr:colOff>
      <xdr:row>85</xdr:row>
      <xdr:rowOff>808463</xdr:rowOff>
    </xdr:to>
    <xdr:pic>
      <xdr:nvPicPr>
        <xdr:cNvPr id="8" name="Imagen 7" descr="Imagen de WhatsApp 2023-03-09 a las 17.44.48">
          <a:extLst>
            <a:ext uri="{FF2B5EF4-FFF2-40B4-BE49-F238E27FC236}">
              <a16:creationId xmlns:a16="http://schemas.microsoft.com/office/drawing/2014/main" id="{30C72B58-7B97-4DAD-A0B0-B327835AD4C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9330668" y="31794035"/>
          <a:ext cx="1166418" cy="739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86</xdr:row>
      <xdr:rowOff>47625</xdr:rowOff>
    </xdr:from>
    <xdr:to>
      <xdr:col>7</xdr:col>
      <xdr:colOff>828675</xdr:colOff>
      <xdr:row>86</xdr:row>
      <xdr:rowOff>647700</xdr:rowOff>
    </xdr:to>
    <xdr:pic>
      <xdr:nvPicPr>
        <xdr:cNvPr id="9" name="Imagen 10">
          <a:extLst>
            <a:ext uri="{FF2B5EF4-FFF2-40B4-BE49-F238E27FC236}">
              <a16:creationId xmlns:a16="http://schemas.microsoft.com/office/drawing/2014/main" id="{68D9769B-CF2E-4924-AD28-F62318E74BB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996" t="46437" r="77777" b="29472"/>
        <a:stretch>
          <a:fillRect/>
        </a:stretch>
      </xdr:blipFill>
      <xdr:spPr>
        <a:xfrm>
          <a:off x="9496425" y="3262312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55</xdr:row>
      <xdr:rowOff>424675</xdr:rowOff>
    </xdr:from>
    <xdr:to>
      <xdr:col>33</xdr:col>
      <xdr:colOff>287574</xdr:colOff>
      <xdr:row>55</xdr:row>
      <xdr:rowOff>2893219</xdr:rowOff>
    </xdr:to>
    <xdr:pic>
      <xdr:nvPicPr>
        <xdr:cNvPr id="10" name="Imagen 9">
          <a:extLst>
            <a:ext uri="{FF2B5EF4-FFF2-40B4-BE49-F238E27FC236}">
              <a16:creationId xmlns:a16="http://schemas.microsoft.com/office/drawing/2014/main" id="{039598F6-0310-451A-A57C-893451B5512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0521" r="2648" b="4876"/>
        <a:stretch>
          <a:fillRect/>
        </a:stretch>
      </xdr:blipFill>
      <xdr:spPr>
        <a:xfrm>
          <a:off x="28427363" y="15464650"/>
          <a:ext cx="3692761" cy="2468544"/>
        </a:xfrm>
        <a:prstGeom prst="rect">
          <a:avLst/>
        </a:prstGeom>
      </xdr:spPr>
    </xdr:pic>
    <xdr:clientData/>
  </xdr:twoCellAnchor>
  <xdr:twoCellAnchor editAs="oneCell">
    <xdr:from>
      <xdr:col>25</xdr:col>
      <xdr:colOff>357188</xdr:colOff>
      <xdr:row>55</xdr:row>
      <xdr:rowOff>2428875</xdr:rowOff>
    </xdr:from>
    <xdr:to>
      <xdr:col>27</xdr:col>
      <xdr:colOff>610005</xdr:colOff>
      <xdr:row>55</xdr:row>
      <xdr:rowOff>4485482</xdr:rowOff>
    </xdr:to>
    <xdr:pic>
      <xdr:nvPicPr>
        <xdr:cNvPr id="11" name="Imagen 10">
          <a:extLst>
            <a:ext uri="{FF2B5EF4-FFF2-40B4-BE49-F238E27FC236}">
              <a16:creationId xmlns:a16="http://schemas.microsoft.com/office/drawing/2014/main" id="{8CDCDF7F-362A-4F8A-9E66-CA2D8A0D2E8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16321" t="18170" r="14235" b="6922"/>
        <a:stretch>
          <a:fillRect/>
        </a:stretch>
      </xdr:blipFill>
      <xdr:spPr>
        <a:xfrm>
          <a:off x="26169938" y="17468850"/>
          <a:ext cx="1757767" cy="2059782"/>
        </a:xfrm>
        <a:prstGeom prst="rect">
          <a:avLst/>
        </a:prstGeom>
      </xdr:spPr>
    </xdr:pic>
    <xdr:clientData/>
  </xdr:twoCellAnchor>
  <xdr:twoCellAnchor editAs="oneCell">
    <xdr:from>
      <xdr:col>9</xdr:col>
      <xdr:colOff>0</xdr:colOff>
      <xdr:row>55</xdr:row>
      <xdr:rowOff>0</xdr:rowOff>
    </xdr:from>
    <xdr:to>
      <xdr:col>9</xdr:col>
      <xdr:colOff>304800</xdr:colOff>
      <xdr:row>55</xdr:row>
      <xdr:rowOff>304800</xdr:rowOff>
    </xdr:to>
    <xdr:sp macro="" textlink="">
      <xdr:nvSpPr>
        <xdr:cNvPr id="28" name="AutoShape 1">
          <a:extLst>
            <a:ext uri="{FF2B5EF4-FFF2-40B4-BE49-F238E27FC236}">
              <a16:creationId xmlns:a16="http://schemas.microsoft.com/office/drawing/2014/main" id="{44618403-71E1-4582-9079-8929E0196565}"/>
            </a:ext>
          </a:extLst>
        </xdr:cNvPr>
        <xdr:cNvSpPr>
          <a:spLocks noChangeAspect="1" noChangeArrowheads="1"/>
        </xdr:cNvSpPr>
      </xdr:nvSpPr>
      <xdr:spPr bwMode="auto">
        <a:xfrm>
          <a:off x="12001500" y="1503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50</xdr:row>
      <xdr:rowOff>0</xdr:rowOff>
    </xdr:from>
    <xdr:to>
      <xdr:col>9</xdr:col>
      <xdr:colOff>304800</xdr:colOff>
      <xdr:row>50</xdr:row>
      <xdr:rowOff>301625</xdr:rowOff>
    </xdr:to>
    <xdr:sp macro="" textlink="">
      <xdr:nvSpPr>
        <xdr:cNvPr id="15" name="AutoShape 1">
          <a:extLst>
            <a:ext uri="{FF2B5EF4-FFF2-40B4-BE49-F238E27FC236}">
              <a16:creationId xmlns:a16="http://schemas.microsoft.com/office/drawing/2014/main" id="{31BD768D-D410-44C9-ABD5-AFA42607FCA7}"/>
            </a:ext>
          </a:extLst>
        </xdr:cNvPr>
        <xdr:cNvSpPr>
          <a:spLocks noChangeAspect="1" noChangeArrowheads="1"/>
        </xdr:cNvSpPr>
      </xdr:nvSpPr>
      <xdr:spPr bwMode="auto">
        <a:xfrm>
          <a:off x="11249025" y="434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50</xdr:row>
      <xdr:rowOff>0</xdr:rowOff>
    </xdr:from>
    <xdr:to>
      <xdr:col>11</xdr:col>
      <xdr:colOff>304800</xdr:colOff>
      <xdr:row>50</xdr:row>
      <xdr:rowOff>301625</xdr:rowOff>
    </xdr:to>
    <xdr:sp macro="" textlink="">
      <xdr:nvSpPr>
        <xdr:cNvPr id="16" name="AutoShape 2">
          <a:extLst>
            <a:ext uri="{FF2B5EF4-FFF2-40B4-BE49-F238E27FC236}">
              <a16:creationId xmlns:a16="http://schemas.microsoft.com/office/drawing/2014/main" id="{11464B35-C0B3-4F62-B1A3-83B0181783F9}"/>
            </a:ext>
          </a:extLst>
        </xdr:cNvPr>
        <xdr:cNvSpPr>
          <a:spLocks noChangeAspect="1" noChangeArrowheads="1"/>
        </xdr:cNvSpPr>
      </xdr:nvSpPr>
      <xdr:spPr bwMode="auto">
        <a:xfrm>
          <a:off x="13668375" y="434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459442</xdr:colOff>
      <xdr:row>56</xdr:row>
      <xdr:rowOff>235323</xdr:rowOff>
    </xdr:from>
    <xdr:to>
      <xdr:col>10</xdr:col>
      <xdr:colOff>717178</xdr:colOff>
      <xdr:row>56</xdr:row>
      <xdr:rowOff>885263</xdr:rowOff>
    </xdr:to>
    <xdr:cxnSp macro="">
      <xdr:nvCxnSpPr>
        <xdr:cNvPr id="34" name="Conector recto de flecha 33">
          <a:extLst>
            <a:ext uri="{FF2B5EF4-FFF2-40B4-BE49-F238E27FC236}">
              <a16:creationId xmlns:a16="http://schemas.microsoft.com/office/drawing/2014/main" id="{E0EDEF7D-A64D-4124-B3F1-C6EE64B2BB81}"/>
            </a:ext>
          </a:extLst>
        </xdr:cNvPr>
        <xdr:cNvCxnSpPr/>
      </xdr:nvCxnSpPr>
      <xdr:spPr>
        <a:xfrm flipH="1" flipV="1">
          <a:off x="13772030" y="20495558"/>
          <a:ext cx="257736" cy="6499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661147</xdr:colOff>
      <xdr:row>55</xdr:row>
      <xdr:rowOff>1860177</xdr:rowOff>
    </xdr:from>
    <xdr:ext cx="1030941" cy="291039"/>
    <xdr:sp macro="" textlink="">
      <xdr:nvSpPr>
        <xdr:cNvPr id="13" name="CuadroTexto 12">
          <a:extLst>
            <a:ext uri="{FF2B5EF4-FFF2-40B4-BE49-F238E27FC236}">
              <a16:creationId xmlns:a16="http://schemas.microsoft.com/office/drawing/2014/main" id="{C945D748-A0A7-4A67-A9B4-E2F7B37C3C37}"/>
            </a:ext>
          </a:extLst>
        </xdr:cNvPr>
        <xdr:cNvSpPr txBox="1"/>
      </xdr:nvSpPr>
      <xdr:spPr>
        <a:xfrm>
          <a:off x="2868706" y="16562295"/>
          <a:ext cx="1030941"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EQUIPO</a:t>
          </a:r>
          <a:r>
            <a:rPr lang="es-MX" sz="1100" baseline="0">
              <a:effectLst/>
            </a:rPr>
            <a:t> BASE</a:t>
          </a:r>
          <a:endParaRPr lang="es-MX" sz="1100">
            <a:effectLst/>
          </a:endParaRPr>
        </a:p>
        <a:p>
          <a:pPr algn="ctr"/>
          <a:endParaRPr lang="es-PA" sz="1100"/>
        </a:p>
        <a:p>
          <a:endParaRPr lang="es-PA" sz="1100"/>
        </a:p>
      </xdr:txBody>
    </xdr:sp>
    <xdr:clientData/>
  </xdr:oneCellAnchor>
  <xdr:oneCellAnchor>
    <xdr:from>
      <xdr:col>7</xdr:col>
      <xdr:colOff>268940</xdr:colOff>
      <xdr:row>55</xdr:row>
      <xdr:rowOff>4232410</xdr:rowOff>
    </xdr:from>
    <xdr:ext cx="896472" cy="261149"/>
    <xdr:sp macro="" textlink="">
      <xdr:nvSpPr>
        <xdr:cNvPr id="17" name="CuadroTexto 16">
          <a:extLst>
            <a:ext uri="{FF2B5EF4-FFF2-40B4-BE49-F238E27FC236}">
              <a16:creationId xmlns:a16="http://schemas.microsoft.com/office/drawing/2014/main" id="{7BB8E0F6-2E65-4D29-9900-14ADFCD3CF9C}"/>
            </a:ext>
          </a:extLst>
        </xdr:cNvPr>
        <xdr:cNvSpPr txBox="1"/>
      </xdr:nvSpPr>
      <xdr:spPr>
        <a:xfrm>
          <a:off x="9782734" y="18934528"/>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3</xdr:col>
      <xdr:colOff>239523</xdr:colOff>
      <xdr:row>55</xdr:row>
      <xdr:rowOff>3148853</xdr:rowOff>
    </xdr:from>
    <xdr:ext cx="1093976" cy="268940"/>
    <xdr:sp macro="" textlink="">
      <xdr:nvSpPr>
        <xdr:cNvPr id="18" name="CuadroTexto 17">
          <a:extLst>
            <a:ext uri="{FF2B5EF4-FFF2-40B4-BE49-F238E27FC236}">
              <a16:creationId xmlns:a16="http://schemas.microsoft.com/office/drawing/2014/main" id="{D5728549-7C35-42E3-8944-B996E7F826BA}"/>
            </a:ext>
          </a:extLst>
        </xdr:cNvPr>
        <xdr:cNvSpPr txBox="1"/>
      </xdr:nvSpPr>
      <xdr:spPr>
        <a:xfrm>
          <a:off x="4553788" y="17850971"/>
          <a:ext cx="1093976" cy="268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000" b="1">
              <a:effectLst/>
            </a:rPr>
            <a:t>AREA</a:t>
          </a:r>
          <a:r>
            <a:rPr lang="es-MX" sz="1000" b="1" baseline="0">
              <a:effectLst/>
            </a:rPr>
            <a:t> COTIZADA</a:t>
          </a:r>
          <a:endParaRPr lang="es-MX" sz="1000" b="1">
            <a:effectLst/>
          </a:endParaRPr>
        </a:p>
        <a:p>
          <a:pPr algn="ctr"/>
          <a:endParaRPr lang="es-PA" sz="1100"/>
        </a:p>
        <a:p>
          <a:endParaRPr lang="es-PA" sz="1100"/>
        </a:p>
      </xdr:txBody>
    </xdr:sp>
    <xdr:clientData/>
  </xdr:oneCellAnchor>
  <xdr:oneCellAnchor>
    <xdr:from>
      <xdr:col>6</xdr:col>
      <xdr:colOff>1013012</xdr:colOff>
      <xdr:row>55</xdr:row>
      <xdr:rowOff>1348119</xdr:rowOff>
    </xdr:from>
    <xdr:ext cx="1650073" cy="243117"/>
    <xdr:sp macro="" textlink="">
      <xdr:nvSpPr>
        <xdr:cNvPr id="19" name="CuadroTexto 18">
          <a:extLst>
            <a:ext uri="{FF2B5EF4-FFF2-40B4-BE49-F238E27FC236}">
              <a16:creationId xmlns:a16="http://schemas.microsoft.com/office/drawing/2014/main" id="{1B886881-1255-4E4D-80EC-3C97F46255BE}"/>
            </a:ext>
          </a:extLst>
        </xdr:cNvPr>
        <xdr:cNvSpPr txBox="1"/>
      </xdr:nvSpPr>
      <xdr:spPr>
        <a:xfrm>
          <a:off x="9081247" y="16050237"/>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746878</xdr:colOff>
      <xdr:row>55</xdr:row>
      <xdr:rowOff>593377</xdr:rowOff>
    </xdr:from>
    <xdr:to>
      <xdr:col>5</xdr:col>
      <xdr:colOff>123265</xdr:colOff>
      <xdr:row>55</xdr:row>
      <xdr:rowOff>773206</xdr:rowOff>
    </xdr:to>
    <xdr:cxnSp macro="">
      <xdr:nvCxnSpPr>
        <xdr:cNvPr id="20" name="Conector recto de flecha 19">
          <a:extLst>
            <a:ext uri="{FF2B5EF4-FFF2-40B4-BE49-F238E27FC236}">
              <a16:creationId xmlns:a16="http://schemas.microsoft.com/office/drawing/2014/main" id="{0D647850-B4D8-48F1-B24E-CF368F908BC8}"/>
            </a:ext>
          </a:extLst>
        </xdr:cNvPr>
        <xdr:cNvCxnSpPr>
          <a:stCxn id="22" idx="3"/>
        </xdr:cNvCxnSpPr>
      </xdr:nvCxnSpPr>
      <xdr:spPr>
        <a:xfrm>
          <a:off x="6125702" y="17155671"/>
          <a:ext cx="440945"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324972</xdr:colOff>
      <xdr:row>55</xdr:row>
      <xdr:rowOff>705970</xdr:rowOff>
    </xdr:from>
    <xdr:to>
      <xdr:col>7</xdr:col>
      <xdr:colOff>392490</xdr:colOff>
      <xdr:row>55</xdr:row>
      <xdr:rowOff>1348119</xdr:rowOff>
    </xdr:to>
    <xdr:cxnSp macro="">
      <xdr:nvCxnSpPr>
        <xdr:cNvPr id="21" name="Conector recto de flecha 20">
          <a:extLst>
            <a:ext uri="{FF2B5EF4-FFF2-40B4-BE49-F238E27FC236}">
              <a16:creationId xmlns:a16="http://schemas.microsoft.com/office/drawing/2014/main" id="{34669600-A2E2-4793-AD05-169B1B1B5A3B}"/>
            </a:ext>
          </a:extLst>
        </xdr:cNvPr>
        <xdr:cNvCxnSpPr>
          <a:stCxn id="19" idx="0"/>
        </xdr:cNvCxnSpPr>
      </xdr:nvCxnSpPr>
      <xdr:spPr>
        <a:xfrm flipH="1" flipV="1">
          <a:off x="8393207" y="15408088"/>
          <a:ext cx="1513077" cy="6421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717176</xdr:colOff>
      <xdr:row>55</xdr:row>
      <xdr:rowOff>346312</xdr:rowOff>
    </xdr:from>
    <xdr:ext cx="1094261" cy="494129"/>
    <xdr:sp macro="" textlink="">
      <xdr:nvSpPr>
        <xdr:cNvPr id="22" name="CuadroTexto 21">
          <a:extLst>
            <a:ext uri="{FF2B5EF4-FFF2-40B4-BE49-F238E27FC236}">
              <a16:creationId xmlns:a16="http://schemas.microsoft.com/office/drawing/2014/main" id="{7F971A94-CA8C-4755-95EA-56ADC66E28CF}"/>
            </a:ext>
          </a:extLst>
        </xdr:cNvPr>
        <xdr:cNvSpPr txBox="1"/>
      </xdr:nvSpPr>
      <xdr:spPr>
        <a:xfrm>
          <a:off x="5031441" y="16908606"/>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437029</xdr:colOff>
      <xdr:row>56</xdr:row>
      <xdr:rowOff>145677</xdr:rowOff>
    </xdr:from>
    <xdr:ext cx="2860309" cy="291039"/>
    <xdr:sp macro="" textlink="">
      <xdr:nvSpPr>
        <xdr:cNvPr id="32" name="CuadroTexto 31">
          <a:extLst>
            <a:ext uri="{FF2B5EF4-FFF2-40B4-BE49-F238E27FC236}">
              <a16:creationId xmlns:a16="http://schemas.microsoft.com/office/drawing/2014/main" id="{B096B301-F2CB-44FD-BFE5-FF740ED33F0A}"/>
            </a:ext>
          </a:extLst>
        </xdr:cNvPr>
        <xdr:cNvSpPr txBox="1"/>
      </xdr:nvSpPr>
      <xdr:spPr>
        <a:xfrm>
          <a:off x="437029" y="19778383"/>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6</xdr:col>
      <xdr:colOff>457560</xdr:colOff>
      <xdr:row>55</xdr:row>
      <xdr:rowOff>2342029</xdr:rowOff>
    </xdr:from>
    <xdr:to>
      <xdr:col>7</xdr:col>
      <xdr:colOff>1378323</xdr:colOff>
      <xdr:row>55</xdr:row>
      <xdr:rowOff>4076237</xdr:rowOff>
    </xdr:to>
    <xdr:pic>
      <xdr:nvPicPr>
        <xdr:cNvPr id="14" name="Imagen 13">
          <a:extLst>
            <a:ext uri="{FF2B5EF4-FFF2-40B4-BE49-F238E27FC236}">
              <a16:creationId xmlns:a16="http://schemas.microsoft.com/office/drawing/2014/main" id="{6B6EBB14-A197-429B-A514-14445F30CBE5}"/>
            </a:ext>
          </a:extLst>
        </xdr:cNvPr>
        <xdr:cNvPicPr>
          <a:picLocks noChangeAspect="1"/>
        </xdr:cNvPicPr>
      </xdr:nvPicPr>
      <xdr:blipFill rotWithShape="1">
        <a:blip xmlns:r="http://schemas.openxmlformats.org/officeDocument/2006/relationships" r:embed="rId9"/>
        <a:srcRect l="6049" t="8786"/>
        <a:stretch/>
      </xdr:blipFill>
      <xdr:spPr>
        <a:xfrm>
          <a:off x="8525795" y="17044147"/>
          <a:ext cx="2366322" cy="1734208"/>
        </a:xfrm>
        <a:prstGeom prst="rect">
          <a:avLst/>
        </a:prstGeom>
      </xdr:spPr>
    </xdr:pic>
    <xdr:clientData/>
  </xdr:twoCellAnchor>
  <xdr:twoCellAnchor editAs="oneCell">
    <xdr:from>
      <xdr:col>0</xdr:col>
      <xdr:colOff>67237</xdr:colOff>
      <xdr:row>55</xdr:row>
      <xdr:rowOff>2364441</xdr:rowOff>
    </xdr:from>
    <xdr:to>
      <xdr:col>2</xdr:col>
      <xdr:colOff>1626762</xdr:colOff>
      <xdr:row>56</xdr:row>
      <xdr:rowOff>89647</xdr:rowOff>
    </xdr:to>
    <xdr:pic>
      <xdr:nvPicPr>
        <xdr:cNvPr id="31" name="Imagen 30">
          <a:extLst>
            <a:ext uri="{FF2B5EF4-FFF2-40B4-BE49-F238E27FC236}">
              <a16:creationId xmlns:a16="http://schemas.microsoft.com/office/drawing/2014/main" id="{687B9A47-1965-4642-B6A4-35E9CC6B86B9}"/>
            </a:ext>
          </a:extLst>
        </xdr:cNvPr>
        <xdr:cNvPicPr>
          <a:picLocks noChangeAspect="1"/>
        </xdr:cNvPicPr>
      </xdr:nvPicPr>
      <xdr:blipFill rotWithShape="1">
        <a:blip xmlns:r="http://schemas.openxmlformats.org/officeDocument/2006/relationships" r:embed="rId10"/>
        <a:srcRect l="3964" t="13207" r="891" b="2149"/>
        <a:stretch/>
      </xdr:blipFill>
      <xdr:spPr>
        <a:xfrm>
          <a:off x="67237" y="17066559"/>
          <a:ext cx="3767084" cy="2655794"/>
        </a:xfrm>
        <a:prstGeom prst="rect">
          <a:avLst/>
        </a:prstGeom>
      </xdr:spPr>
    </xdr:pic>
    <xdr:clientData/>
  </xdr:twoCellAnchor>
  <xdr:twoCellAnchor editAs="oneCell">
    <xdr:from>
      <xdr:col>6</xdr:col>
      <xdr:colOff>459441</xdr:colOff>
      <xdr:row>0</xdr:row>
      <xdr:rowOff>89647</xdr:rowOff>
    </xdr:from>
    <xdr:to>
      <xdr:col>7</xdr:col>
      <xdr:colOff>851649</xdr:colOff>
      <xdr:row>0</xdr:row>
      <xdr:rowOff>1499116</xdr:rowOff>
    </xdr:to>
    <xdr:pic>
      <xdr:nvPicPr>
        <xdr:cNvPr id="35" name="Imagen 34">
          <a:extLst>
            <a:ext uri="{FF2B5EF4-FFF2-40B4-BE49-F238E27FC236}">
              <a16:creationId xmlns:a16="http://schemas.microsoft.com/office/drawing/2014/main" id="{73BC05E2-0920-4A6D-BC13-4985D5773667}"/>
            </a:ext>
          </a:extLst>
        </xdr:cNvPr>
        <xdr:cNvPicPr>
          <a:picLocks noChangeAspect="1"/>
        </xdr:cNvPicPr>
      </xdr:nvPicPr>
      <xdr:blipFill rotWithShape="1">
        <a:blip xmlns:r="http://schemas.openxmlformats.org/officeDocument/2006/relationships" r:embed="rId11"/>
        <a:srcRect t="4420" r="5369"/>
        <a:stretch/>
      </xdr:blipFill>
      <xdr:spPr>
        <a:xfrm>
          <a:off x="8527676" y="89647"/>
          <a:ext cx="1837767" cy="1409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717176</xdr:colOff>
      <xdr:row>55</xdr:row>
      <xdr:rowOff>178695</xdr:rowOff>
    </xdr:from>
    <xdr:to>
      <xdr:col>7</xdr:col>
      <xdr:colOff>1389530</xdr:colOff>
      <xdr:row>55</xdr:row>
      <xdr:rowOff>1178509</xdr:rowOff>
    </xdr:to>
    <xdr:pic>
      <xdr:nvPicPr>
        <xdr:cNvPr id="2" name="Imagen 1">
          <a:extLst>
            <a:ext uri="{FF2B5EF4-FFF2-40B4-BE49-F238E27FC236}">
              <a16:creationId xmlns:a16="http://schemas.microsoft.com/office/drawing/2014/main" id="{8F1163CF-70B3-4DB5-8CF3-BBADD1611FFE}"/>
            </a:ext>
          </a:extLst>
        </xdr:cNvPr>
        <xdr:cNvPicPr>
          <a:picLocks noChangeAspect="1"/>
        </xdr:cNvPicPr>
      </xdr:nvPicPr>
      <xdr:blipFill>
        <a:blip xmlns:r="http://schemas.openxmlformats.org/officeDocument/2006/relationships" r:embed="rId1"/>
        <a:stretch>
          <a:fillRect/>
        </a:stretch>
      </xdr:blipFill>
      <xdr:spPr>
        <a:xfrm>
          <a:off x="6098801" y="14875770"/>
          <a:ext cx="4806204" cy="999814"/>
        </a:xfrm>
        <a:prstGeom prst="rect">
          <a:avLst/>
        </a:prstGeom>
      </xdr:spPr>
    </xdr:pic>
    <xdr:clientData/>
  </xdr:twoCellAnchor>
  <xdr:twoCellAnchor editAs="oneCell">
    <xdr:from>
      <xdr:col>0</xdr:col>
      <xdr:colOff>112058</xdr:colOff>
      <xdr:row>55</xdr:row>
      <xdr:rowOff>77412</xdr:rowOff>
    </xdr:from>
    <xdr:to>
      <xdr:col>2</xdr:col>
      <xdr:colOff>2095500</xdr:colOff>
      <xdr:row>55</xdr:row>
      <xdr:rowOff>2308410</xdr:rowOff>
    </xdr:to>
    <xdr:pic>
      <xdr:nvPicPr>
        <xdr:cNvPr id="3" name="Imagen 2">
          <a:extLst>
            <a:ext uri="{FF2B5EF4-FFF2-40B4-BE49-F238E27FC236}">
              <a16:creationId xmlns:a16="http://schemas.microsoft.com/office/drawing/2014/main" id="{634EBF52-CA5F-4F18-8531-E4789DCEC9D0}"/>
            </a:ext>
          </a:extLst>
        </xdr:cNvPr>
        <xdr:cNvPicPr>
          <a:picLocks noChangeAspect="1"/>
        </xdr:cNvPicPr>
      </xdr:nvPicPr>
      <xdr:blipFill rotWithShape="1">
        <a:blip xmlns:r="http://schemas.openxmlformats.org/officeDocument/2006/relationships" r:embed="rId2"/>
        <a:srcRect l="4422" t="16538" r="736" b="-178"/>
        <a:stretch/>
      </xdr:blipFill>
      <xdr:spPr>
        <a:xfrm>
          <a:off x="112058" y="14774487"/>
          <a:ext cx="4193242" cy="2230998"/>
        </a:xfrm>
        <a:prstGeom prst="rect">
          <a:avLst/>
        </a:prstGeom>
      </xdr:spPr>
    </xdr:pic>
    <xdr:clientData/>
  </xdr:twoCellAnchor>
  <xdr:twoCellAnchor editAs="oneCell">
    <xdr:from>
      <xdr:col>2</xdr:col>
      <xdr:colOff>1770529</xdr:colOff>
      <xdr:row>55</xdr:row>
      <xdr:rowOff>1725705</xdr:rowOff>
    </xdr:from>
    <xdr:to>
      <xdr:col>6</xdr:col>
      <xdr:colOff>348645</xdr:colOff>
      <xdr:row>55</xdr:row>
      <xdr:rowOff>4789240</xdr:rowOff>
    </xdr:to>
    <xdr:pic>
      <xdr:nvPicPr>
        <xdr:cNvPr id="4" name="Imagen 3">
          <a:extLst>
            <a:ext uri="{FF2B5EF4-FFF2-40B4-BE49-F238E27FC236}">
              <a16:creationId xmlns:a16="http://schemas.microsoft.com/office/drawing/2014/main" id="{E0241DFA-CD9C-4848-AA70-558E53F675F9}"/>
            </a:ext>
          </a:extLst>
        </xdr:cNvPr>
        <xdr:cNvPicPr>
          <a:picLocks noChangeAspect="1"/>
        </xdr:cNvPicPr>
      </xdr:nvPicPr>
      <xdr:blipFill>
        <a:blip xmlns:r="http://schemas.openxmlformats.org/officeDocument/2006/relationships" r:embed="rId3"/>
        <a:stretch>
          <a:fillRect/>
        </a:stretch>
      </xdr:blipFill>
      <xdr:spPr>
        <a:xfrm>
          <a:off x="3980329" y="16422780"/>
          <a:ext cx="4435991" cy="3063535"/>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5" name="Imagen 4" descr="logo-01.jpg">
          <a:extLst>
            <a:ext uri="{FF2B5EF4-FFF2-40B4-BE49-F238E27FC236}">
              <a16:creationId xmlns:a16="http://schemas.microsoft.com/office/drawing/2014/main" id="{AA0ED9DB-0CC1-435B-82EE-59F9932FBD5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85</xdr:row>
      <xdr:rowOff>66260</xdr:rowOff>
    </xdr:from>
    <xdr:to>
      <xdr:col>7</xdr:col>
      <xdr:colOff>1257836</xdr:colOff>
      <xdr:row>85</xdr:row>
      <xdr:rowOff>808463</xdr:rowOff>
    </xdr:to>
    <xdr:pic>
      <xdr:nvPicPr>
        <xdr:cNvPr id="6" name="Imagen 5" descr="Imagen de WhatsApp 2023-03-09 a las 17.44.48">
          <a:extLst>
            <a:ext uri="{FF2B5EF4-FFF2-40B4-BE49-F238E27FC236}">
              <a16:creationId xmlns:a16="http://schemas.microsoft.com/office/drawing/2014/main" id="{985A7827-43ED-45D1-B5B2-0BDB18397F6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9606893" y="2695533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86</xdr:row>
      <xdr:rowOff>47625</xdr:rowOff>
    </xdr:from>
    <xdr:to>
      <xdr:col>7</xdr:col>
      <xdr:colOff>828675</xdr:colOff>
      <xdr:row>86</xdr:row>
      <xdr:rowOff>647700</xdr:rowOff>
    </xdr:to>
    <xdr:pic>
      <xdr:nvPicPr>
        <xdr:cNvPr id="7" name="Imagen 10">
          <a:extLst>
            <a:ext uri="{FF2B5EF4-FFF2-40B4-BE49-F238E27FC236}">
              <a16:creationId xmlns:a16="http://schemas.microsoft.com/office/drawing/2014/main" id="{599CC246-D951-438E-883A-41B8586E5E3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996" t="46437" r="77777" b="29472"/>
        <a:stretch>
          <a:fillRect/>
        </a:stretch>
      </xdr:blipFill>
      <xdr:spPr>
        <a:xfrm>
          <a:off x="9772650" y="2778442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55</xdr:row>
      <xdr:rowOff>424675</xdr:rowOff>
    </xdr:from>
    <xdr:to>
      <xdr:col>33</xdr:col>
      <xdr:colOff>287574</xdr:colOff>
      <xdr:row>55</xdr:row>
      <xdr:rowOff>2893219</xdr:rowOff>
    </xdr:to>
    <xdr:pic>
      <xdr:nvPicPr>
        <xdr:cNvPr id="8" name="Imagen 7">
          <a:extLst>
            <a:ext uri="{FF2B5EF4-FFF2-40B4-BE49-F238E27FC236}">
              <a16:creationId xmlns:a16="http://schemas.microsoft.com/office/drawing/2014/main" id="{09F96534-1F28-4AED-A108-1DF5EB9C934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0521" r="2648" b="4876"/>
        <a:stretch>
          <a:fillRect/>
        </a:stretch>
      </xdr:blipFill>
      <xdr:spPr>
        <a:xfrm>
          <a:off x="28570238" y="15121750"/>
          <a:ext cx="3692761" cy="2468544"/>
        </a:xfrm>
        <a:prstGeom prst="rect">
          <a:avLst/>
        </a:prstGeom>
      </xdr:spPr>
    </xdr:pic>
    <xdr:clientData/>
  </xdr:twoCellAnchor>
  <xdr:twoCellAnchor editAs="oneCell">
    <xdr:from>
      <xdr:col>25</xdr:col>
      <xdr:colOff>357188</xdr:colOff>
      <xdr:row>55</xdr:row>
      <xdr:rowOff>2428875</xdr:rowOff>
    </xdr:from>
    <xdr:to>
      <xdr:col>27</xdr:col>
      <xdr:colOff>610005</xdr:colOff>
      <xdr:row>55</xdr:row>
      <xdr:rowOff>4485482</xdr:rowOff>
    </xdr:to>
    <xdr:pic>
      <xdr:nvPicPr>
        <xdr:cNvPr id="9" name="Imagen 8">
          <a:extLst>
            <a:ext uri="{FF2B5EF4-FFF2-40B4-BE49-F238E27FC236}">
              <a16:creationId xmlns:a16="http://schemas.microsoft.com/office/drawing/2014/main" id="{050611AA-4E1E-44DB-AF03-5D5FF651080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16321" t="18170" r="14235" b="6922"/>
        <a:stretch>
          <a:fillRect/>
        </a:stretch>
      </xdr:blipFill>
      <xdr:spPr>
        <a:xfrm>
          <a:off x="26312813" y="17125950"/>
          <a:ext cx="1757767" cy="2056607"/>
        </a:xfrm>
        <a:prstGeom prst="rect">
          <a:avLst/>
        </a:prstGeom>
      </xdr:spPr>
    </xdr:pic>
    <xdr:clientData/>
  </xdr:twoCellAnchor>
  <xdr:twoCellAnchor editAs="oneCell">
    <xdr:from>
      <xdr:col>9</xdr:col>
      <xdr:colOff>0</xdr:colOff>
      <xdr:row>55</xdr:row>
      <xdr:rowOff>0</xdr:rowOff>
    </xdr:from>
    <xdr:to>
      <xdr:col>9</xdr:col>
      <xdr:colOff>304800</xdr:colOff>
      <xdr:row>55</xdr:row>
      <xdr:rowOff>304800</xdr:rowOff>
    </xdr:to>
    <xdr:sp macro="" textlink="">
      <xdr:nvSpPr>
        <xdr:cNvPr id="10" name="AutoShape 1">
          <a:extLst>
            <a:ext uri="{FF2B5EF4-FFF2-40B4-BE49-F238E27FC236}">
              <a16:creationId xmlns:a16="http://schemas.microsoft.com/office/drawing/2014/main" id="{8F4B4E44-71CD-441B-9E6A-E73B56A91AD0}"/>
            </a:ext>
          </a:extLst>
        </xdr:cNvPr>
        <xdr:cNvSpPr>
          <a:spLocks noChangeAspect="1" noChangeArrowheads="1"/>
        </xdr:cNvSpPr>
      </xdr:nvSpPr>
      <xdr:spPr bwMode="auto">
        <a:xfrm>
          <a:off x="12144375" y="1469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50</xdr:row>
      <xdr:rowOff>0</xdr:rowOff>
    </xdr:from>
    <xdr:to>
      <xdr:col>9</xdr:col>
      <xdr:colOff>304800</xdr:colOff>
      <xdr:row>50</xdr:row>
      <xdr:rowOff>301625</xdr:rowOff>
    </xdr:to>
    <xdr:sp macro="" textlink="">
      <xdr:nvSpPr>
        <xdr:cNvPr id="11" name="AutoShape 1">
          <a:extLst>
            <a:ext uri="{FF2B5EF4-FFF2-40B4-BE49-F238E27FC236}">
              <a16:creationId xmlns:a16="http://schemas.microsoft.com/office/drawing/2014/main" id="{498F990C-6E64-41BF-9469-98636C736BE1}"/>
            </a:ext>
          </a:extLst>
        </xdr:cNvPr>
        <xdr:cNvSpPr>
          <a:spLocks noChangeAspect="1" noChangeArrowheads="1"/>
        </xdr:cNvSpPr>
      </xdr:nvSpPr>
      <xdr:spPr bwMode="auto">
        <a:xfrm>
          <a:off x="1214437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50</xdr:row>
      <xdr:rowOff>0</xdr:rowOff>
    </xdr:from>
    <xdr:to>
      <xdr:col>11</xdr:col>
      <xdr:colOff>304800</xdr:colOff>
      <xdr:row>50</xdr:row>
      <xdr:rowOff>301625</xdr:rowOff>
    </xdr:to>
    <xdr:sp macro="" textlink="">
      <xdr:nvSpPr>
        <xdr:cNvPr id="12" name="AutoShape 2">
          <a:extLst>
            <a:ext uri="{FF2B5EF4-FFF2-40B4-BE49-F238E27FC236}">
              <a16:creationId xmlns:a16="http://schemas.microsoft.com/office/drawing/2014/main" id="{48CAD215-40D4-4460-8251-2A1CEB310C0E}"/>
            </a:ext>
          </a:extLst>
        </xdr:cNvPr>
        <xdr:cNvSpPr>
          <a:spLocks noChangeAspect="1" noChangeArrowheads="1"/>
        </xdr:cNvSpPr>
      </xdr:nvSpPr>
      <xdr:spPr bwMode="auto">
        <a:xfrm>
          <a:off x="1456372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459442</xdr:colOff>
      <xdr:row>56</xdr:row>
      <xdr:rowOff>235323</xdr:rowOff>
    </xdr:from>
    <xdr:to>
      <xdr:col>10</xdr:col>
      <xdr:colOff>717178</xdr:colOff>
      <xdr:row>56</xdr:row>
      <xdr:rowOff>885263</xdr:rowOff>
    </xdr:to>
    <xdr:cxnSp macro="">
      <xdr:nvCxnSpPr>
        <xdr:cNvPr id="13" name="Conector recto de flecha 12">
          <a:extLst>
            <a:ext uri="{FF2B5EF4-FFF2-40B4-BE49-F238E27FC236}">
              <a16:creationId xmlns:a16="http://schemas.microsoft.com/office/drawing/2014/main" id="{B16D7AA4-4760-4338-82AD-DAABD2ADA4CC}"/>
            </a:ext>
          </a:extLst>
        </xdr:cNvPr>
        <xdr:cNvCxnSpPr/>
      </xdr:nvCxnSpPr>
      <xdr:spPr>
        <a:xfrm flipH="1" flipV="1">
          <a:off x="13765867" y="19866348"/>
          <a:ext cx="257736" cy="28799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661147</xdr:colOff>
      <xdr:row>55</xdr:row>
      <xdr:rowOff>1860177</xdr:rowOff>
    </xdr:from>
    <xdr:ext cx="1030941" cy="291039"/>
    <xdr:sp macro="" textlink="">
      <xdr:nvSpPr>
        <xdr:cNvPr id="14" name="CuadroTexto 13">
          <a:extLst>
            <a:ext uri="{FF2B5EF4-FFF2-40B4-BE49-F238E27FC236}">
              <a16:creationId xmlns:a16="http://schemas.microsoft.com/office/drawing/2014/main" id="{1ED8103D-3667-4ABF-84A7-CC3DDCCD7608}"/>
            </a:ext>
          </a:extLst>
        </xdr:cNvPr>
        <xdr:cNvSpPr txBox="1"/>
      </xdr:nvSpPr>
      <xdr:spPr>
        <a:xfrm>
          <a:off x="2870947" y="16557252"/>
          <a:ext cx="1030941"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EQUIPO</a:t>
          </a:r>
          <a:r>
            <a:rPr lang="es-MX" sz="1100" baseline="0">
              <a:effectLst/>
            </a:rPr>
            <a:t> BASE</a:t>
          </a:r>
          <a:endParaRPr lang="es-MX" sz="1100">
            <a:effectLst/>
          </a:endParaRPr>
        </a:p>
        <a:p>
          <a:pPr algn="ctr"/>
          <a:endParaRPr lang="es-PA" sz="1100"/>
        </a:p>
        <a:p>
          <a:endParaRPr lang="es-PA" sz="1100"/>
        </a:p>
      </xdr:txBody>
    </xdr:sp>
    <xdr:clientData/>
  </xdr:oneCellAnchor>
  <xdr:oneCellAnchor>
    <xdr:from>
      <xdr:col>7</xdr:col>
      <xdr:colOff>268940</xdr:colOff>
      <xdr:row>55</xdr:row>
      <xdr:rowOff>4232410</xdr:rowOff>
    </xdr:from>
    <xdr:ext cx="896472" cy="261149"/>
    <xdr:sp macro="" textlink="">
      <xdr:nvSpPr>
        <xdr:cNvPr id="15" name="CuadroTexto 14">
          <a:extLst>
            <a:ext uri="{FF2B5EF4-FFF2-40B4-BE49-F238E27FC236}">
              <a16:creationId xmlns:a16="http://schemas.microsoft.com/office/drawing/2014/main" id="{FDAAA33A-D2AF-40B3-9DEA-8FDCF973EF7A}"/>
            </a:ext>
          </a:extLst>
        </xdr:cNvPr>
        <xdr:cNvSpPr txBox="1"/>
      </xdr:nvSpPr>
      <xdr:spPr>
        <a:xfrm>
          <a:off x="9784415" y="18929485"/>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3</xdr:col>
      <xdr:colOff>239523</xdr:colOff>
      <xdr:row>55</xdr:row>
      <xdr:rowOff>3148853</xdr:rowOff>
    </xdr:from>
    <xdr:ext cx="1093976" cy="268940"/>
    <xdr:sp macro="" textlink="">
      <xdr:nvSpPr>
        <xdr:cNvPr id="16" name="CuadroTexto 15">
          <a:extLst>
            <a:ext uri="{FF2B5EF4-FFF2-40B4-BE49-F238E27FC236}">
              <a16:creationId xmlns:a16="http://schemas.microsoft.com/office/drawing/2014/main" id="{99D9D84D-DF9F-42C9-A6A7-28AB0E189A70}"/>
            </a:ext>
          </a:extLst>
        </xdr:cNvPr>
        <xdr:cNvSpPr txBox="1"/>
      </xdr:nvSpPr>
      <xdr:spPr>
        <a:xfrm>
          <a:off x="4554348" y="17845928"/>
          <a:ext cx="1093976" cy="268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000" b="1">
              <a:effectLst/>
            </a:rPr>
            <a:t>AREA</a:t>
          </a:r>
          <a:r>
            <a:rPr lang="es-MX" sz="1000" b="1" baseline="0">
              <a:effectLst/>
            </a:rPr>
            <a:t> COTIZADA</a:t>
          </a:r>
          <a:endParaRPr lang="es-MX" sz="1000" b="1">
            <a:effectLst/>
          </a:endParaRPr>
        </a:p>
        <a:p>
          <a:pPr algn="ctr"/>
          <a:endParaRPr lang="es-PA" sz="1100"/>
        </a:p>
        <a:p>
          <a:endParaRPr lang="es-PA" sz="1100"/>
        </a:p>
      </xdr:txBody>
    </xdr:sp>
    <xdr:clientData/>
  </xdr:oneCellAnchor>
  <xdr:oneCellAnchor>
    <xdr:from>
      <xdr:col>6</xdr:col>
      <xdr:colOff>1013012</xdr:colOff>
      <xdr:row>55</xdr:row>
      <xdr:rowOff>1348119</xdr:rowOff>
    </xdr:from>
    <xdr:ext cx="1650073" cy="243117"/>
    <xdr:sp macro="" textlink="">
      <xdr:nvSpPr>
        <xdr:cNvPr id="17" name="CuadroTexto 16">
          <a:extLst>
            <a:ext uri="{FF2B5EF4-FFF2-40B4-BE49-F238E27FC236}">
              <a16:creationId xmlns:a16="http://schemas.microsoft.com/office/drawing/2014/main" id="{D25F650A-7281-40E2-B909-7E181196239D}"/>
            </a:ext>
          </a:extLst>
        </xdr:cNvPr>
        <xdr:cNvSpPr txBox="1"/>
      </xdr:nvSpPr>
      <xdr:spPr>
        <a:xfrm>
          <a:off x="9080687" y="16045194"/>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746878</xdr:colOff>
      <xdr:row>55</xdr:row>
      <xdr:rowOff>593377</xdr:rowOff>
    </xdr:from>
    <xdr:to>
      <xdr:col>5</xdr:col>
      <xdr:colOff>123265</xdr:colOff>
      <xdr:row>55</xdr:row>
      <xdr:rowOff>773206</xdr:rowOff>
    </xdr:to>
    <xdr:cxnSp macro="">
      <xdr:nvCxnSpPr>
        <xdr:cNvPr id="18" name="Conector recto de flecha 17">
          <a:extLst>
            <a:ext uri="{FF2B5EF4-FFF2-40B4-BE49-F238E27FC236}">
              <a16:creationId xmlns:a16="http://schemas.microsoft.com/office/drawing/2014/main" id="{81EE9D54-7802-4A10-BD05-235AEDA059E4}"/>
            </a:ext>
          </a:extLst>
        </xdr:cNvPr>
        <xdr:cNvCxnSpPr>
          <a:stCxn id="20" idx="3"/>
        </xdr:cNvCxnSpPr>
      </xdr:nvCxnSpPr>
      <xdr:spPr>
        <a:xfrm>
          <a:off x="6128503" y="15290452"/>
          <a:ext cx="443187"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324972</xdr:colOff>
      <xdr:row>55</xdr:row>
      <xdr:rowOff>705970</xdr:rowOff>
    </xdr:from>
    <xdr:to>
      <xdr:col>7</xdr:col>
      <xdr:colOff>392490</xdr:colOff>
      <xdr:row>55</xdr:row>
      <xdr:rowOff>1348119</xdr:rowOff>
    </xdr:to>
    <xdr:cxnSp macro="">
      <xdr:nvCxnSpPr>
        <xdr:cNvPr id="19" name="Conector recto de flecha 18">
          <a:extLst>
            <a:ext uri="{FF2B5EF4-FFF2-40B4-BE49-F238E27FC236}">
              <a16:creationId xmlns:a16="http://schemas.microsoft.com/office/drawing/2014/main" id="{4EABFC43-C962-41C1-A04E-51C6E2B2B284}"/>
            </a:ext>
          </a:extLst>
        </xdr:cNvPr>
        <xdr:cNvCxnSpPr>
          <a:stCxn id="17" idx="0"/>
        </xdr:cNvCxnSpPr>
      </xdr:nvCxnSpPr>
      <xdr:spPr>
        <a:xfrm flipH="1" flipV="1">
          <a:off x="8392647" y="15403045"/>
          <a:ext cx="1515318" cy="6421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717176</xdr:colOff>
      <xdr:row>55</xdr:row>
      <xdr:rowOff>346312</xdr:rowOff>
    </xdr:from>
    <xdr:ext cx="1094261" cy="494129"/>
    <xdr:sp macro="" textlink="">
      <xdr:nvSpPr>
        <xdr:cNvPr id="20" name="CuadroTexto 19">
          <a:extLst>
            <a:ext uri="{FF2B5EF4-FFF2-40B4-BE49-F238E27FC236}">
              <a16:creationId xmlns:a16="http://schemas.microsoft.com/office/drawing/2014/main" id="{DD3B0344-6E04-4269-84D1-455D64134CE8}"/>
            </a:ext>
          </a:extLst>
        </xdr:cNvPr>
        <xdr:cNvSpPr txBox="1"/>
      </xdr:nvSpPr>
      <xdr:spPr>
        <a:xfrm>
          <a:off x="5032001" y="15043387"/>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437029</xdr:colOff>
      <xdr:row>56</xdr:row>
      <xdr:rowOff>145677</xdr:rowOff>
    </xdr:from>
    <xdr:ext cx="2860309" cy="291039"/>
    <xdr:sp macro="" textlink="">
      <xdr:nvSpPr>
        <xdr:cNvPr id="21" name="CuadroTexto 20">
          <a:extLst>
            <a:ext uri="{FF2B5EF4-FFF2-40B4-BE49-F238E27FC236}">
              <a16:creationId xmlns:a16="http://schemas.microsoft.com/office/drawing/2014/main" id="{96F75EFA-0169-4561-9B0D-3BFEBADF044F}"/>
            </a:ext>
          </a:extLst>
        </xdr:cNvPr>
        <xdr:cNvSpPr txBox="1"/>
      </xdr:nvSpPr>
      <xdr:spPr>
        <a:xfrm>
          <a:off x="437029" y="19776702"/>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6</xdr:col>
      <xdr:colOff>457560</xdr:colOff>
      <xdr:row>55</xdr:row>
      <xdr:rowOff>2342029</xdr:rowOff>
    </xdr:from>
    <xdr:to>
      <xdr:col>7</xdr:col>
      <xdr:colOff>1378323</xdr:colOff>
      <xdr:row>55</xdr:row>
      <xdr:rowOff>4076237</xdr:rowOff>
    </xdr:to>
    <xdr:pic>
      <xdr:nvPicPr>
        <xdr:cNvPr id="22" name="Imagen 21">
          <a:extLst>
            <a:ext uri="{FF2B5EF4-FFF2-40B4-BE49-F238E27FC236}">
              <a16:creationId xmlns:a16="http://schemas.microsoft.com/office/drawing/2014/main" id="{6EE5DEE3-01DF-493E-8FD2-2EA998F79949}"/>
            </a:ext>
          </a:extLst>
        </xdr:cNvPr>
        <xdr:cNvPicPr>
          <a:picLocks noChangeAspect="1"/>
        </xdr:cNvPicPr>
      </xdr:nvPicPr>
      <xdr:blipFill rotWithShape="1">
        <a:blip xmlns:r="http://schemas.openxmlformats.org/officeDocument/2006/relationships" r:embed="rId9"/>
        <a:srcRect l="6049" t="8786"/>
        <a:stretch/>
      </xdr:blipFill>
      <xdr:spPr>
        <a:xfrm>
          <a:off x="8525235" y="17039104"/>
          <a:ext cx="2368563" cy="1734208"/>
        </a:xfrm>
        <a:prstGeom prst="rect">
          <a:avLst/>
        </a:prstGeom>
      </xdr:spPr>
    </xdr:pic>
    <xdr:clientData/>
  </xdr:twoCellAnchor>
  <xdr:twoCellAnchor editAs="oneCell">
    <xdr:from>
      <xdr:col>0</xdr:col>
      <xdr:colOff>67237</xdr:colOff>
      <xdr:row>55</xdr:row>
      <xdr:rowOff>2364441</xdr:rowOff>
    </xdr:from>
    <xdr:to>
      <xdr:col>2</xdr:col>
      <xdr:colOff>1626762</xdr:colOff>
      <xdr:row>56</xdr:row>
      <xdr:rowOff>89647</xdr:rowOff>
    </xdr:to>
    <xdr:pic>
      <xdr:nvPicPr>
        <xdr:cNvPr id="23" name="Imagen 22">
          <a:extLst>
            <a:ext uri="{FF2B5EF4-FFF2-40B4-BE49-F238E27FC236}">
              <a16:creationId xmlns:a16="http://schemas.microsoft.com/office/drawing/2014/main" id="{1CFB2C04-58E6-48B8-B750-1ECBEECF8AC7}"/>
            </a:ext>
          </a:extLst>
        </xdr:cNvPr>
        <xdr:cNvPicPr>
          <a:picLocks noChangeAspect="1"/>
        </xdr:cNvPicPr>
      </xdr:nvPicPr>
      <xdr:blipFill rotWithShape="1">
        <a:blip xmlns:r="http://schemas.openxmlformats.org/officeDocument/2006/relationships" r:embed="rId10"/>
        <a:srcRect l="3964" t="13207" r="891" b="2149"/>
        <a:stretch/>
      </xdr:blipFill>
      <xdr:spPr>
        <a:xfrm>
          <a:off x="67237" y="17061516"/>
          <a:ext cx="3769325" cy="2659156"/>
        </a:xfrm>
        <a:prstGeom prst="rect">
          <a:avLst/>
        </a:prstGeom>
      </xdr:spPr>
    </xdr:pic>
    <xdr:clientData/>
  </xdr:twoCellAnchor>
  <xdr:twoCellAnchor editAs="oneCell">
    <xdr:from>
      <xdr:col>6</xdr:col>
      <xdr:colOff>515471</xdr:colOff>
      <xdr:row>0</xdr:row>
      <xdr:rowOff>123265</xdr:rowOff>
    </xdr:from>
    <xdr:to>
      <xdr:col>7</xdr:col>
      <xdr:colOff>907679</xdr:colOff>
      <xdr:row>0</xdr:row>
      <xdr:rowOff>1532734</xdr:rowOff>
    </xdr:to>
    <xdr:pic>
      <xdr:nvPicPr>
        <xdr:cNvPr id="24" name="Imagen 23">
          <a:extLst>
            <a:ext uri="{FF2B5EF4-FFF2-40B4-BE49-F238E27FC236}">
              <a16:creationId xmlns:a16="http://schemas.microsoft.com/office/drawing/2014/main" id="{DD09E9EB-F362-4828-A956-1BB0A31683B9}"/>
            </a:ext>
          </a:extLst>
        </xdr:cNvPr>
        <xdr:cNvPicPr>
          <a:picLocks noChangeAspect="1"/>
        </xdr:cNvPicPr>
      </xdr:nvPicPr>
      <xdr:blipFill rotWithShape="1">
        <a:blip xmlns:r="http://schemas.openxmlformats.org/officeDocument/2006/relationships" r:embed="rId11"/>
        <a:srcRect t="4420" r="5369"/>
        <a:stretch/>
      </xdr:blipFill>
      <xdr:spPr>
        <a:xfrm>
          <a:off x="8583706" y="123265"/>
          <a:ext cx="1837767" cy="1409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168088</xdr:colOff>
      <xdr:row>141</xdr:row>
      <xdr:rowOff>818030</xdr:rowOff>
    </xdr:from>
    <xdr:to>
      <xdr:col>3</xdr:col>
      <xdr:colOff>823614</xdr:colOff>
      <xdr:row>141</xdr:row>
      <xdr:rowOff>4381502</xdr:rowOff>
    </xdr:to>
    <xdr:pic>
      <xdr:nvPicPr>
        <xdr:cNvPr id="30" name="Imagen 29">
          <a:extLst>
            <a:ext uri="{FF2B5EF4-FFF2-40B4-BE49-F238E27FC236}">
              <a16:creationId xmlns:a16="http://schemas.microsoft.com/office/drawing/2014/main" id="{C55D5A80-16A8-4A04-A525-022709C42C3C}"/>
            </a:ext>
          </a:extLst>
        </xdr:cNvPr>
        <xdr:cNvPicPr>
          <a:picLocks noChangeAspect="1"/>
        </xdr:cNvPicPr>
      </xdr:nvPicPr>
      <xdr:blipFill rotWithShape="1">
        <a:blip xmlns:r="http://schemas.openxmlformats.org/officeDocument/2006/relationships" r:embed="rId1"/>
        <a:srcRect l="2976" t="7939" r="1561" b="759"/>
        <a:stretch/>
      </xdr:blipFill>
      <xdr:spPr>
        <a:xfrm>
          <a:off x="168088" y="38514618"/>
          <a:ext cx="4969791" cy="3563472"/>
        </a:xfrm>
        <a:prstGeom prst="rect">
          <a:avLst/>
        </a:prstGeom>
      </xdr:spPr>
    </xdr:pic>
    <xdr:clientData/>
  </xdr:twoCellAnchor>
  <xdr:twoCellAnchor editAs="oneCell">
    <xdr:from>
      <xdr:col>5</xdr:col>
      <xdr:colOff>963706</xdr:colOff>
      <xdr:row>141</xdr:row>
      <xdr:rowOff>268941</xdr:rowOff>
    </xdr:from>
    <xdr:to>
      <xdr:col>7</xdr:col>
      <xdr:colOff>1296849</xdr:colOff>
      <xdr:row>141</xdr:row>
      <xdr:rowOff>976803</xdr:rowOff>
    </xdr:to>
    <xdr:pic>
      <xdr:nvPicPr>
        <xdr:cNvPr id="2" name="Imagen 1">
          <a:extLst>
            <a:ext uri="{FF2B5EF4-FFF2-40B4-BE49-F238E27FC236}">
              <a16:creationId xmlns:a16="http://schemas.microsoft.com/office/drawing/2014/main" id="{7F73A787-A865-4DB9-BC6A-4673F80FFB60}"/>
            </a:ext>
          </a:extLst>
        </xdr:cNvPr>
        <xdr:cNvPicPr>
          <a:picLocks noChangeAspect="1"/>
        </xdr:cNvPicPr>
      </xdr:nvPicPr>
      <xdr:blipFill>
        <a:blip xmlns:r="http://schemas.openxmlformats.org/officeDocument/2006/relationships" r:embed="rId2"/>
        <a:stretch>
          <a:fillRect/>
        </a:stretch>
      </xdr:blipFill>
      <xdr:spPr>
        <a:xfrm>
          <a:off x="7407088" y="37965529"/>
          <a:ext cx="3403555" cy="707862"/>
        </a:xfrm>
        <a:prstGeom prst="rect">
          <a:avLst/>
        </a:prstGeom>
      </xdr:spPr>
    </xdr:pic>
    <xdr:clientData/>
  </xdr:twoCellAnchor>
  <xdr:twoCellAnchor editAs="oneCell">
    <xdr:from>
      <xdr:col>4</xdr:col>
      <xdr:colOff>-1</xdr:colOff>
      <xdr:row>141</xdr:row>
      <xdr:rowOff>4112558</xdr:rowOff>
    </xdr:from>
    <xdr:to>
      <xdr:col>5</xdr:col>
      <xdr:colOff>766840</xdr:colOff>
      <xdr:row>142</xdr:row>
      <xdr:rowOff>156880</xdr:rowOff>
    </xdr:to>
    <xdr:pic>
      <xdr:nvPicPr>
        <xdr:cNvPr id="3" name="Imagen 2">
          <a:extLst>
            <a:ext uri="{FF2B5EF4-FFF2-40B4-BE49-F238E27FC236}">
              <a16:creationId xmlns:a16="http://schemas.microsoft.com/office/drawing/2014/main" id="{C97CCF5C-4F7E-4D2A-8875-D3858559C16C}"/>
            </a:ext>
          </a:extLst>
        </xdr:cNvPr>
        <xdr:cNvPicPr>
          <a:picLocks noChangeAspect="1"/>
        </xdr:cNvPicPr>
      </xdr:nvPicPr>
      <xdr:blipFill rotWithShape="1">
        <a:blip xmlns:r="http://schemas.openxmlformats.org/officeDocument/2006/relationships" r:embed="rId3"/>
        <a:srcRect l="4422" t="16538" r="736" b="-178"/>
        <a:stretch/>
      </xdr:blipFill>
      <xdr:spPr>
        <a:xfrm>
          <a:off x="5378823" y="41809146"/>
          <a:ext cx="1831399" cy="974910"/>
        </a:xfrm>
        <a:prstGeom prst="rect">
          <a:avLst/>
        </a:prstGeom>
      </xdr:spPr>
    </xdr:pic>
    <xdr:clientData/>
  </xdr:twoCellAnchor>
  <xdr:twoCellAnchor editAs="oneCell">
    <xdr:from>
      <xdr:col>6</xdr:col>
      <xdr:colOff>717177</xdr:colOff>
      <xdr:row>141</xdr:row>
      <xdr:rowOff>1979167</xdr:rowOff>
    </xdr:from>
    <xdr:to>
      <xdr:col>7</xdr:col>
      <xdr:colOff>1703294</xdr:colOff>
      <xdr:row>141</xdr:row>
      <xdr:rowOff>3657444</xdr:rowOff>
    </xdr:to>
    <xdr:pic>
      <xdr:nvPicPr>
        <xdr:cNvPr id="4" name="Imagen 3">
          <a:extLst>
            <a:ext uri="{FF2B5EF4-FFF2-40B4-BE49-F238E27FC236}">
              <a16:creationId xmlns:a16="http://schemas.microsoft.com/office/drawing/2014/main" id="{E4C090AE-CF33-40F4-8618-AAF56D3FD69A}"/>
            </a:ext>
          </a:extLst>
        </xdr:cNvPr>
        <xdr:cNvPicPr>
          <a:picLocks noChangeAspect="1"/>
        </xdr:cNvPicPr>
      </xdr:nvPicPr>
      <xdr:blipFill>
        <a:blip xmlns:r="http://schemas.openxmlformats.org/officeDocument/2006/relationships" r:embed="rId4"/>
        <a:stretch>
          <a:fillRect/>
        </a:stretch>
      </xdr:blipFill>
      <xdr:spPr>
        <a:xfrm>
          <a:off x="8785412" y="39675755"/>
          <a:ext cx="2431676"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5" name="Imagen 4" descr="logo-01.jpg">
          <a:extLst>
            <a:ext uri="{FF2B5EF4-FFF2-40B4-BE49-F238E27FC236}">
              <a16:creationId xmlns:a16="http://schemas.microsoft.com/office/drawing/2014/main" id="{19BBF1BD-8333-4B2F-B0EB-F716FB7D718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171</xdr:row>
      <xdr:rowOff>66260</xdr:rowOff>
    </xdr:from>
    <xdr:to>
      <xdr:col>7</xdr:col>
      <xdr:colOff>1257836</xdr:colOff>
      <xdr:row>171</xdr:row>
      <xdr:rowOff>808463</xdr:rowOff>
    </xdr:to>
    <xdr:pic>
      <xdr:nvPicPr>
        <xdr:cNvPr id="6" name="Imagen 5" descr="Imagen de WhatsApp 2023-03-09 a las 17.44.48">
          <a:extLst>
            <a:ext uri="{FF2B5EF4-FFF2-40B4-BE49-F238E27FC236}">
              <a16:creationId xmlns:a16="http://schemas.microsoft.com/office/drawing/2014/main" id="{C6E1D77E-2E46-4012-96C2-D6EAAD38282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2695533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172</xdr:row>
      <xdr:rowOff>47625</xdr:rowOff>
    </xdr:from>
    <xdr:to>
      <xdr:col>7</xdr:col>
      <xdr:colOff>828675</xdr:colOff>
      <xdr:row>172</xdr:row>
      <xdr:rowOff>647700</xdr:rowOff>
    </xdr:to>
    <xdr:pic>
      <xdr:nvPicPr>
        <xdr:cNvPr id="7" name="Imagen 10">
          <a:extLst>
            <a:ext uri="{FF2B5EF4-FFF2-40B4-BE49-F238E27FC236}">
              <a16:creationId xmlns:a16="http://schemas.microsoft.com/office/drawing/2014/main" id="{97AEA1D4-20FA-4A82-94E9-5B4D99BDE8B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2778442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141</xdr:row>
      <xdr:rowOff>424675</xdr:rowOff>
    </xdr:from>
    <xdr:to>
      <xdr:col>33</xdr:col>
      <xdr:colOff>287574</xdr:colOff>
      <xdr:row>141</xdr:row>
      <xdr:rowOff>2893219</xdr:rowOff>
    </xdr:to>
    <xdr:pic>
      <xdr:nvPicPr>
        <xdr:cNvPr id="8" name="Imagen 7">
          <a:extLst>
            <a:ext uri="{FF2B5EF4-FFF2-40B4-BE49-F238E27FC236}">
              <a16:creationId xmlns:a16="http://schemas.microsoft.com/office/drawing/2014/main" id="{9E06ACEF-64C7-4016-A1B7-E2C4AA1A5D3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570238" y="15121750"/>
          <a:ext cx="3692761" cy="2468544"/>
        </a:xfrm>
        <a:prstGeom prst="rect">
          <a:avLst/>
        </a:prstGeom>
      </xdr:spPr>
    </xdr:pic>
    <xdr:clientData/>
  </xdr:twoCellAnchor>
  <xdr:twoCellAnchor editAs="oneCell">
    <xdr:from>
      <xdr:col>25</xdr:col>
      <xdr:colOff>357188</xdr:colOff>
      <xdr:row>141</xdr:row>
      <xdr:rowOff>2428875</xdr:rowOff>
    </xdr:from>
    <xdr:to>
      <xdr:col>27</xdr:col>
      <xdr:colOff>610005</xdr:colOff>
      <xdr:row>141</xdr:row>
      <xdr:rowOff>4485482</xdr:rowOff>
    </xdr:to>
    <xdr:pic>
      <xdr:nvPicPr>
        <xdr:cNvPr id="9" name="Imagen 8">
          <a:extLst>
            <a:ext uri="{FF2B5EF4-FFF2-40B4-BE49-F238E27FC236}">
              <a16:creationId xmlns:a16="http://schemas.microsoft.com/office/drawing/2014/main" id="{0244FFED-1E45-44A0-A85B-E9BF67EEC29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312813" y="17125950"/>
          <a:ext cx="1757767" cy="2056607"/>
        </a:xfrm>
        <a:prstGeom prst="rect">
          <a:avLst/>
        </a:prstGeom>
      </xdr:spPr>
    </xdr:pic>
    <xdr:clientData/>
  </xdr:twoCellAnchor>
  <xdr:twoCellAnchor editAs="oneCell">
    <xdr:from>
      <xdr:col>9</xdr:col>
      <xdr:colOff>0</xdr:colOff>
      <xdr:row>141</xdr:row>
      <xdr:rowOff>0</xdr:rowOff>
    </xdr:from>
    <xdr:to>
      <xdr:col>9</xdr:col>
      <xdr:colOff>304800</xdr:colOff>
      <xdr:row>141</xdr:row>
      <xdr:rowOff>304800</xdr:rowOff>
    </xdr:to>
    <xdr:sp macro="" textlink="">
      <xdr:nvSpPr>
        <xdr:cNvPr id="10" name="AutoShape 1">
          <a:extLst>
            <a:ext uri="{FF2B5EF4-FFF2-40B4-BE49-F238E27FC236}">
              <a16:creationId xmlns:a16="http://schemas.microsoft.com/office/drawing/2014/main" id="{BB33EF63-FE55-4B97-B6F3-730D8FE7A46C}"/>
            </a:ext>
          </a:extLst>
        </xdr:cNvPr>
        <xdr:cNvSpPr>
          <a:spLocks noChangeAspect="1" noChangeArrowheads="1"/>
        </xdr:cNvSpPr>
      </xdr:nvSpPr>
      <xdr:spPr bwMode="auto">
        <a:xfrm>
          <a:off x="12144375" y="1469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114</xdr:row>
      <xdr:rowOff>0</xdr:rowOff>
    </xdr:from>
    <xdr:to>
      <xdr:col>9</xdr:col>
      <xdr:colOff>304800</xdr:colOff>
      <xdr:row>114</xdr:row>
      <xdr:rowOff>301625</xdr:rowOff>
    </xdr:to>
    <xdr:sp macro="" textlink="">
      <xdr:nvSpPr>
        <xdr:cNvPr id="11" name="AutoShape 1">
          <a:extLst>
            <a:ext uri="{FF2B5EF4-FFF2-40B4-BE49-F238E27FC236}">
              <a16:creationId xmlns:a16="http://schemas.microsoft.com/office/drawing/2014/main" id="{00CFCC9C-E1E2-494E-A683-C20498D256DF}"/>
            </a:ext>
          </a:extLst>
        </xdr:cNvPr>
        <xdr:cNvSpPr>
          <a:spLocks noChangeAspect="1" noChangeArrowheads="1"/>
        </xdr:cNvSpPr>
      </xdr:nvSpPr>
      <xdr:spPr bwMode="auto">
        <a:xfrm>
          <a:off x="1214437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114</xdr:row>
      <xdr:rowOff>0</xdr:rowOff>
    </xdr:from>
    <xdr:to>
      <xdr:col>11</xdr:col>
      <xdr:colOff>304800</xdr:colOff>
      <xdr:row>114</xdr:row>
      <xdr:rowOff>301625</xdr:rowOff>
    </xdr:to>
    <xdr:sp macro="" textlink="">
      <xdr:nvSpPr>
        <xdr:cNvPr id="12" name="AutoShape 2">
          <a:extLst>
            <a:ext uri="{FF2B5EF4-FFF2-40B4-BE49-F238E27FC236}">
              <a16:creationId xmlns:a16="http://schemas.microsoft.com/office/drawing/2014/main" id="{6F3B7392-DA0B-443D-96A0-8C4A93C79D03}"/>
            </a:ext>
          </a:extLst>
        </xdr:cNvPr>
        <xdr:cNvSpPr>
          <a:spLocks noChangeAspect="1" noChangeArrowheads="1"/>
        </xdr:cNvSpPr>
      </xdr:nvSpPr>
      <xdr:spPr bwMode="auto">
        <a:xfrm>
          <a:off x="1456372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141</xdr:row>
      <xdr:rowOff>3451412</xdr:rowOff>
    </xdr:from>
    <xdr:to>
      <xdr:col>4</xdr:col>
      <xdr:colOff>493058</xdr:colOff>
      <xdr:row>141</xdr:row>
      <xdr:rowOff>4303059</xdr:rowOff>
    </xdr:to>
    <xdr:cxnSp macro="">
      <xdr:nvCxnSpPr>
        <xdr:cNvPr id="13" name="Conector recto de flecha 12">
          <a:extLst>
            <a:ext uri="{FF2B5EF4-FFF2-40B4-BE49-F238E27FC236}">
              <a16:creationId xmlns:a16="http://schemas.microsoft.com/office/drawing/2014/main" id="{2CB37899-02AE-43E4-B842-E39E5855CA32}"/>
            </a:ext>
          </a:extLst>
        </xdr:cNvPr>
        <xdr:cNvCxnSpPr/>
      </xdr:nvCxnSpPr>
      <xdr:spPr>
        <a:xfrm>
          <a:off x="4706471" y="41148000"/>
          <a:ext cx="1165411"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141</xdr:row>
      <xdr:rowOff>2577353</xdr:rowOff>
    </xdr:from>
    <xdr:ext cx="773207" cy="448236"/>
    <xdr:sp macro="" textlink="">
      <xdr:nvSpPr>
        <xdr:cNvPr id="14" name="CuadroTexto 13">
          <a:extLst>
            <a:ext uri="{FF2B5EF4-FFF2-40B4-BE49-F238E27FC236}">
              <a16:creationId xmlns:a16="http://schemas.microsoft.com/office/drawing/2014/main" id="{4CC24534-14FA-484A-A71F-37699D33626E}"/>
            </a:ext>
          </a:extLst>
        </xdr:cNvPr>
        <xdr:cNvSpPr txBox="1"/>
      </xdr:nvSpPr>
      <xdr:spPr>
        <a:xfrm>
          <a:off x="8987117" y="40273941"/>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141</xdr:row>
      <xdr:rowOff>4647028</xdr:rowOff>
    </xdr:from>
    <xdr:ext cx="896472" cy="261149"/>
    <xdr:sp macro="" textlink="">
      <xdr:nvSpPr>
        <xdr:cNvPr id="15" name="CuadroTexto 14">
          <a:extLst>
            <a:ext uri="{FF2B5EF4-FFF2-40B4-BE49-F238E27FC236}">
              <a16:creationId xmlns:a16="http://schemas.microsoft.com/office/drawing/2014/main" id="{86ECA30D-9A59-42CD-BFAF-84BE6A651C3E}"/>
            </a:ext>
          </a:extLst>
        </xdr:cNvPr>
        <xdr:cNvSpPr txBox="1"/>
      </xdr:nvSpPr>
      <xdr:spPr>
        <a:xfrm>
          <a:off x="21134292" y="42343616"/>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6</xdr:col>
      <xdr:colOff>1069040</xdr:colOff>
      <xdr:row>141</xdr:row>
      <xdr:rowOff>1090384</xdr:rowOff>
    </xdr:from>
    <xdr:ext cx="1650073" cy="243117"/>
    <xdr:sp macro="" textlink="">
      <xdr:nvSpPr>
        <xdr:cNvPr id="17" name="CuadroTexto 16">
          <a:extLst>
            <a:ext uri="{FF2B5EF4-FFF2-40B4-BE49-F238E27FC236}">
              <a16:creationId xmlns:a16="http://schemas.microsoft.com/office/drawing/2014/main" id="{E6321130-537C-46A8-A9A8-F50604638CB0}"/>
            </a:ext>
          </a:extLst>
        </xdr:cNvPr>
        <xdr:cNvSpPr txBox="1"/>
      </xdr:nvSpPr>
      <xdr:spPr>
        <a:xfrm>
          <a:off x="9137275" y="38786972"/>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5</xdr:col>
      <xdr:colOff>1508878</xdr:colOff>
      <xdr:row>141</xdr:row>
      <xdr:rowOff>302025</xdr:rowOff>
    </xdr:from>
    <xdr:to>
      <xdr:col>6</xdr:col>
      <xdr:colOff>324970</xdr:colOff>
      <xdr:row>141</xdr:row>
      <xdr:rowOff>481854</xdr:rowOff>
    </xdr:to>
    <xdr:cxnSp macro="">
      <xdr:nvCxnSpPr>
        <xdr:cNvPr id="18" name="Conector recto de flecha 17">
          <a:extLst>
            <a:ext uri="{FF2B5EF4-FFF2-40B4-BE49-F238E27FC236}">
              <a16:creationId xmlns:a16="http://schemas.microsoft.com/office/drawing/2014/main" id="{A10653A5-C714-41AE-9C17-C66534793C12}"/>
            </a:ext>
          </a:extLst>
        </xdr:cNvPr>
        <xdr:cNvCxnSpPr>
          <a:stCxn id="20" idx="3"/>
        </xdr:cNvCxnSpPr>
      </xdr:nvCxnSpPr>
      <xdr:spPr>
        <a:xfrm>
          <a:off x="7952260" y="37998613"/>
          <a:ext cx="440945"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907677</xdr:colOff>
      <xdr:row>141</xdr:row>
      <xdr:rowOff>605118</xdr:rowOff>
    </xdr:from>
    <xdr:to>
      <xdr:col>7</xdr:col>
      <xdr:colOff>448518</xdr:colOff>
      <xdr:row>141</xdr:row>
      <xdr:rowOff>1090384</xdr:rowOff>
    </xdr:to>
    <xdr:cxnSp macro="">
      <xdr:nvCxnSpPr>
        <xdr:cNvPr id="19" name="Conector recto de flecha 18">
          <a:extLst>
            <a:ext uri="{FF2B5EF4-FFF2-40B4-BE49-F238E27FC236}">
              <a16:creationId xmlns:a16="http://schemas.microsoft.com/office/drawing/2014/main" id="{FD870759-02A1-4C10-BCF1-1274F0A131D3}"/>
            </a:ext>
          </a:extLst>
        </xdr:cNvPr>
        <xdr:cNvCxnSpPr>
          <a:stCxn id="17" idx="0"/>
        </xdr:cNvCxnSpPr>
      </xdr:nvCxnSpPr>
      <xdr:spPr>
        <a:xfrm flipH="1" flipV="1">
          <a:off x="8975912" y="38301706"/>
          <a:ext cx="986400"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414617</xdr:colOff>
      <xdr:row>141</xdr:row>
      <xdr:rowOff>54960</xdr:rowOff>
    </xdr:from>
    <xdr:ext cx="1094261" cy="494129"/>
    <xdr:sp macro="" textlink="">
      <xdr:nvSpPr>
        <xdr:cNvPr id="20" name="CuadroTexto 19">
          <a:extLst>
            <a:ext uri="{FF2B5EF4-FFF2-40B4-BE49-F238E27FC236}">
              <a16:creationId xmlns:a16="http://schemas.microsoft.com/office/drawing/2014/main" id="{137F42FB-3080-4CE4-BB6D-E99453E0760F}"/>
            </a:ext>
          </a:extLst>
        </xdr:cNvPr>
        <xdr:cNvSpPr txBox="1"/>
      </xdr:nvSpPr>
      <xdr:spPr>
        <a:xfrm>
          <a:off x="6857999" y="37751548"/>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141</xdr:row>
      <xdr:rowOff>4639235</xdr:rowOff>
    </xdr:from>
    <xdr:ext cx="2860309" cy="291039"/>
    <xdr:sp macro="" textlink="">
      <xdr:nvSpPr>
        <xdr:cNvPr id="21" name="CuadroTexto 20">
          <a:extLst>
            <a:ext uri="{FF2B5EF4-FFF2-40B4-BE49-F238E27FC236}">
              <a16:creationId xmlns:a16="http://schemas.microsoft.com/office/drawing/2014/main" id="{5277AF38-7322-41BF-AC45-A1BD2CFC2DA3}"/>
            </a:ext>
          </a:extLst>
        </xdr:cNvPr>
        <xdr:cNvSpPr txBox="1"/>
      </xdr:nvSpPr>
      <xdr:spPr>
        <a:xfrm>
          <a:off x="728382" y="42335823"/>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141</xdr:row>
      <xdr:rowOff>4235824</xdr:rowOff>
    </xdr:from>
    <xdr:to>
      <xdr:col>6</xdr:col>
      <xdr:colOff>723553</xdr:colOff>
      <xdr:row>142</xdr:row>
      <xdr:rowOff>165384</xdr:rowOff>
    </xdr:to>
    <xdr:pic>
      <xdr:nvPicPr>
        <xdr:cNvPr id="22" name="Imagen 21">
          <a:extLst>
            <a:ext uri="{FF2B5EF4-FFF2-40B4-BE49-F238E27FC236}">
              <a16:creationId xmlns:a16="http://schemas.microsoft.com/office/drawing/2014/main" id="{B9EC1720-B63C-4716-AF79-1EDD103DEE52}"/>
            </a:ext>
          </a:extLst>
        </xdr:cNvPr>
        <xdr:cNvPicPr>
          <a:picLocks noChangeAspect="1"/>
        </xdr:cNvPicPr>
      </xdr:nvPicPr>
      <xdr:blipFill rotWithShape="1">
        <a:blip xmlns:r="http://schemas.openxmlformats.org/officeDocument/2006/relationships" r:embed="rId10"/>
        <a:srcRect l="6049" t="8786"/>
        <a:stretch/>
      </xdr:blipFill>
      <xdr:spPr>
        <a:xfrm>
          <a:off x="7618118" y="41932412"/>
          <a:ext cx="1173670" cy="860148"/>
        </a:xfrm>
        <a:prstGeom prst="rect">
          <a:avLst/>
        </a:prstGeom>
      </xdr:spPr>
    </xdr:pic>
    <xdr:clientData/>
  </xdr:twoCellAnchor>
  <xdr:oneCellAnchor>
    <xdr:from>
      <xdr:col>9</xdr:col>
      <xdr:colOff>0</xdr:colOff>
      <xdr:row>121</xdr:row>
      <xdr:rowOff>0</xdr:rowOff>
    </xdr:from>
    <xdr:ext cx="304800" cy="301625"/>
    <xdr:sp macro="" textlink="">
      <xdr:nvSpPr>
        <xdr:cNvPr id="24" name="AutoShape 1">
          <a:extLst>
            <a:ext uri="{FF2B5EF4-FFF2-40B4-BE49-F238E27FC236}">
              <a16:creationId xmlns:a16="http://schemas.microsoft.com/office/drawing/2014/main" id="{78FB2421-38F9-4F30-90A0-A2E67CF14BB5}"/>
            </a:ext>
          </a:extLst>
        </xdr:cNvPr>
        <xdr:cNvSpPr>
          <a:spLocks noChangeAspect="1" noChangeArrowheads="1"/>
        </xdr:cNvSpPr>
      </xdr:nvSpPr>
      <xdr:spPr bwMode="auto">
        <a:xfrm>
          <a:off x="12147176" y="28384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5" name="AutoShape 2">
          <a:extLst>
            <a:ext uri="{FF2B5EF4-FFF2-40B4-BE49-F238E27FC236}">
              <a16:creationId xmlns:a16="http://schemas.microsoft.com/office/drawing/2014/main" id="{3F698522-F3C2-4B97-85A9-86CFA1A256F2}"/>
            </a:ext>
          </a:extLst>
        </xdr:cNvPr>
        <xdr:cNvSpPr>
          <a:spLocks noChangeAspect="1" noChangeArrowheads="1"/>
        </xdr:cNvSpPr>
      </xdr:nvSpPr>
      <xdr:spPr bwMode="auto">
        <a:xfrm>
          <a:off x="14567647" y="28384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128</xdr:row>
      <xdr:rowOff>0</xdr:rowOff>
    </xdr:from>
    <xdr:ext cx="304800" cy="301625"/>
    <xdr:sp macro="" textlink="">
      <xdr:nvSpPr>
        <xdr:cNvPr id="26" name="AutoShape 1">
          <a:extLst>
            <a:ext uri="{FF2B5EF4-FFF2-40B4-BE49-F238E27FC236}">
              <a16:creationId xmlns:a16="http://schemas.microsoft.com/office/drawing/2014/main" id="{B1EE6A3A-B310-423C-AFE8-DEFF4799AC35}"/>
            </a:ext>
          </a:extLst>
        </xdr:cNvPr>
        <xdr:cNvSpPr>
          <a:spLocks noChangeAspect="1" noChangeArrowheads="1"/>
        </xdr:cNvSpPr>
      </xdr:nvSpPr>
      <xdr:spPr bwMode="auto">
        <a:xfrm>
          <a:off x="12147176" y="28384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xdr:row>
      <xdr:rowOff>0</xdr:rowOff>
    </xdr:from>
    <xdr:ext cx="304800" cy="301625"/>
    <xdr:sp macro="" textlink="">
      <xdr:nvSpPr>
        <xdr:cNvPr id="27" name="AutoShape 2">
          <a:extLst>
            <a:ext uri="{FF2B5EF4-FFF2-40B4-BE49-F238E27FC236}">
              <a16:creationId xmlns:a16="http://schemas.microsoft.com/office/drawing/2014/main" id="{B3F98275-393A-46A5-BCB1-FAC6EC125C50}"/>
            </a:ext>
          </a:extLst>
        </xdr:cNvPr>
        <xdr:cNvSpPr>
          <a:spLocks noChangeAspect="1" noChangeArrowheads="1"/>
        </xdr:cNvSpPr>
      </xdr:nvSpPr>
      <xdr:spPr bwMode="auto">
        <a:xfrm>
          <a:off x="14567647" y="28384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134</xdr:row>
      <xdr:rowOff>0</xdr:rowOff>
    </xdr:from>
    <xdr:ext cx="304800" cy="301625"/>
    <xdr:sp macro="" textlink="">
      <xdr:nvSpPr>
        <xdr:cNvPr id="28" name="AutoShape 1">
          <a:extLst>
            <a:ext uri="{FF2B5EF4-FFF2-40B4-BE49-F238E27FC236}">
              <a16:creationId xmlns:a16="http://schemas.microsoft.com/office/drawing/2014/main" id="{323AEC97-78F6-4C11-8A2B-59913FED6A95}"/>
            </a:ext>
          </a:extLst>
        </xdr:cNvPr>
        <xdr:cNvSpPr>
          <a:spLocks noChangeAspect="1" noChangeArrowheads="1"/>
        </xdr:cNvSpPr>
      </xdr:nvSpPr>
      <xdr:spPr bwMode="auto">
        <a:xfrm>
          <a:off x="12147176" y="33315088"/>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134</xdr:row>
      <xdr:rowOff>0</xdr:rowOff>
    </xdr:from>
    <xdr:ext cx="304800" cy="301625"/>
    <xdr:sp macro="" textlink="">
      <xdr:nvSpPr>
        <xdr:cNvPr id="29" name="AutoShape 2">
          <a:extLst>
            <a:ext uri="{FF2B5EF4-FFF2-40B4-BE49-F238E27FC236}">
              <a16:creationId xmlns:a16="http://schemas.microsoft.com/office/drawing/2014/main" id="{041DCC72-12CD-4FE4-B74D-6C74FCCFE93E}"/>
            </a:ext>
          </a:extLst>
        </xdr:cNvPr>
        <xdr:cNvSpPr>
          <a:spLocks noChangeAspect="1" noChangeArrowheads="1"/>
        </xdr:cNvSpPr>
      </xdr:nvSpPr>
      <xdr:spPr bwMode="auto">
        <a:xfrm>
          <a:off x="14567647" y="33315088"/>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141</xdr:row>
      <xdr:rowOff>2853017</xdr:rowOff>
    </xdr:from>
    <xdr:to>
      <xdr:col>5</xdr:col>
      <xdr:colOff>762357</xdr:colOff>
      <xdr:row>141</xdr:row>
      <xdr:rowOff>3827927</xdr:rowOff>
    </xdr:to>
    <xdr:pic>
      <xdr:nvPicPr>
        <xdr:cNvPr id="31" name="Imagen 30">
          <a:extLst>
            <a:ext uri="{FF2B5EF4-FFF2-40B4-BE49-F238E27FC236}">
              <a16:creationId xmlns:a16="http://schemas.microsoft.com/office/drawing/2014/main" id="{B6C60C1A-90EC-4801-B980-6D5F9C0598F5}"/>
            </a:ext>
          </a:extLst>
        </xdr:cNvPr>
        <xdr:cNvPicPr>
          <a:picLocks noChangeAspect="1"/>
        </xdr:cNvPicPr>
      </xdr:nvPicPr>
      <xdr:blipFill rotWithShape="1">
        <a:blip xmlns:r="http://schemas.openxmlformats.org/officeDocument/2006/relationships" r:embed="rId3"/>
        <a:srcRect l="4422" t="16538" r="736" b="-178"/>
        <a:stretch/>
      </xdr:blipFill>
      <xdr:spPr>
        <a:xfrm>
          <a:off x="5374340" y="40549605"/>
          <a:ext cx="1831399" cy="974910"/>
        </a:xfrm>
        <a:prstGeom prst="rect">
          <a:avLst/>
        </a:prstGeom>
      </xdr:spPr>
    </xdr:pic>
    <xdr:clientData/>
  </xdr:twoCellAnchor>
  <xdr:twoCellAnchor editAs="oneCell">
    <xdr:from>
      <xdr:col>5</xdr:col>
      <xdr:colOff>1170253</xdr:colOff>
      <xdr:row>141</xdr:row>
      <xdr:rowOff>2976283</xdr:rowOff>
    </xdr:from>
    <xdr:to>
      <xdr:col>6</xdr:col>
      <xdr:colOff>719070</xdr:colOff>
      <xdr:row>141</xdr:row>
      <xdr:rowOff>3836431</xdr:rowOff>
    </xdr:to>
    <xdr:pic>
      <xdr:nvPicPr>
        <xdr:cNvPr id="32" name="Imagen 31">
          <a:extLst>
            <a:ext uri="{FF2B5EF4-FFF2-40B4-BE49-F238E27FC236}">
              <a16:creationId xmlns:a16="http://schemas.microsoft.com/office/drawing/2014/main" id="{E85D33A8-F565-44D5-A1FD-1AA2CC29C8BD}"/>
            </a:ext>
          </a:extLst>
        </xdr:cNvPr>
        <xdr:cNvPicPr>
          <a:picLocks noChangeAspect="1"/>
        </xdr:cNvPicPr>
      </xdr:nvPicPr>
      <xdr:blipFill rotWithShape="1">
        <a:blip xmlns:r="http://schemas.openxmlformats.org/officeDocument/2006/relationships" r:embed="rId10"/>
        <a:srcRect l="6049" t="8786"/>
        <a:stretch/>
      </xdr:blipFill>
      <xdr:spPr>
        <a:xfrm>
          <a:off x="7613635" y="40672871"/>
          <a:ext cx="1173670" cy="860148"/>
        </a:xfrm>
        <a:prstGeom prst="rect">
          <a:avLst/>
        </a:prstGeom>
      </xdr:spPr>
    </xdr:pic>
    <xdr:clientData/>
  </xdr:twoCellAnchor>
  <xdr:twoCellAnchor editAs="oneCell">
    <xdr:from>
      <xdr:col>3</xdr:col>
      <xdr:colOff>977152</xdr:colOff>
      <xdr:row>141</xdr:row>
      <xdr:rowOff>1638300</xdr:rowOff>
    </xdr:from>
    <xdr:to>
      <xdr:col>5</xdr:col>
      <xdr:colOff>679434</xdr:colOff>
      <xdr:row>141</xdr:row>
      <xdr:rowOff>2613210</xdr:rowOff>
    </xdr:to>
    <xdr:pic>
      <xdr:nvPicPr>
        <xdr:cNvPr id="33" name="Imagen 32">
          <a:extLst>
            <a:ext uri="{FF2B5EF4-FFF2-40B4-BE49-F238E27FC236}">
              <a16:creationId xmlns:a16="http://schemas.microsoft.com/office/drawing/2014/main" id="{00E77CD2-1FC6-46AB-A688-79537925DFFB}"/>
            </a:ext>
          </a:extLst>
        </xdr:cNvPr>
        <xdr:cNvPicPr>
          <a:picLocks noChangeAspect="1"/>
        </xdr:cNvPicPr>
      </xdr:nvPicPr>
      <xdr:blipFill rotWithShape="1">
        <a:blip xmlns:r="http://schemas.openxmlformats.org/officeDocument/2006/relationships" r:embed="rId3"/>
        <a:srcRect l="4422" t="16538" r="736" b="-178"/>
        <a:stretch/>
      </xdr:blipFill>
      <xdr:spPr>
        <a:xfrm>
          <a:off x="5291417" y="39334888"/>
          <a:ext cx="1831399" cy="974910"/>
        </a:xfrm>
        <a:prstGeom prst="rect">
          <a:avLst/>
        </a:prstGeom>
      </xdr:spPr>
    </xdr:pic>
    <xdr:clientData/>
  </xdr:twoCellAnchor>
  <xdr:twoCellAnchor editAs="oneCell">
    <xdr:from>
      <xdr:col>5</xdr:col>
      <xdr:colOff>1087330</xdr:colOff>
      <xdr:row>141</xdr:row>
      <xdr:rowOff>1761566</xdr:rowOff>
    </xdr:from>
    <xdr:to>
      <xdr:col>6</xdr:col>
      <xdr:colOff>636147</xdr:colOff>
      <xdr:row>141</xdr:row>
      <xdr:rowOff>2621714</xdr:rowOff>
    </xdr:to>
    <xdr:pic>
      <xdr:nvPicPr>
        <xdr:cNvPr id="34" name="Imagen 33">
          <a:extLst>
            <a:ext uri="{FF2B5EF4-FFF2-40B4-BE49-F238E27FC236}">
              <a16:creationId xmlns:a16="http://schemas.microsoft.com/office/drawing/2014/main" id="{A9C7DE5F-E8D5-460E-BEE2-0586B2E0253A}"/>
            </a:ext>
          </a:extLst>
        </xdr:cNvPr>
        <xdr:cNvPicPr>
          <a:picLocks noChangeAspect="1"/>
        </xdr:cNvPicPr>
      </xdr:nvPicPr>
      <xdr:blipFill rotWithShape="1">
        <a:blip xmlns:r="http://schemas.openxmlformats.org/officeDocument/2006/relationships" r:embed="rId10"/>
        <a:srcRect l="6049" t="8786"/>
        <a:stretch/>
      </xdr:blipFill>
      <xdr:spPr>
        <a:xfrm>
          <a:off x="7530712" y="39458154"/>
          <a:ext cx="1173670" cy="860148"/>
        </a:xfrm>
        <a:prstGeom prst="rect">
          <a:avLst/>
        </a:prstGeom>
      </xdr:spPr>
    </xdr:pic>
    <xdr:clientData/>
  </xdr:twoCellAnchor>
  <xdr:twoCellAnchor editAs="oneCell">
    <xdr:from>
      <xdr:col>3</xdr:col>
      <xdr:colOff>838199</xdr:colOff>
      <xdr:row>141</xdr:row>
      <xdr:rowOff>569258</xdr:rowOff>
    </xdr:from>
    <xdr:to>
      <xdr:col>5</xdr:col>
      <xdr:colOff>540481</xdr:colOff>
      <xdr:row>141</xdr:row>
      <xdr:rowOff>1544168</xdr:rowOff>
    </xdr:to>
    <xdr:pic>
      <xdr:nvPicPr>
        <xdr:cNvPr id="35" name="Imagen 34">
          <a:extLst>
            <a:ext uri="{FF2B5EF4-FFF2-40B4-BE49-F238E27FC236}">
              <a16:creationId xmlns:a16="http://schemas.microsoft.com/office/drawing/2014/main" id="{19A41D63-2396-4AEB-A1AE-8D075F0B0178}"/>
            </a:ext>
          </a:extLst>
        </xdr:cNvPr>
        <xdr:cNvPicPr>
          <a:picLocks noChangeAspect="1"/>
        </xdr:cNvPicPr>
      </xdr:nvPicPr>
      <xdr:blipFill rotWithShape="1">
        <a:blip xmlns:r="http://schemas.openxmlformats.org/officeDocument/2006/relationships" r:embed="rId3"/>
        <a:srcRect l="4422" t="16538" r="736" b="-178"/>
        <a:stretch/>
      </xdr:blipFill>
      <xdr:spPr>
        <a:xfrm>
          <a:off x="5152464" y="38265846"/>
          <a:ext cx="1831399" cy="974910"/>
        </a:xfrm>
        <a:prstGeom prst="rect">
          <a:avLst/>
        </a:prstGeom>
      </xdr:spPr>
    </xdr:pic>
    <xdr:clientData/>
  </xdr:twoCellAnchor>
  <xdr:twoCellAnchor>
    <xdr:from>
      <xdr:col>5</xdr:col>
      <xdr:colOff>728383</xdr:colOff>
      <xdr:row>141</xdr:row>
      <xdr:rowOff>1860176</xdr:rowOff>
    </xdr:from>
    <xdr:to>
      <xdr:col>5</xdr:col>
      <xdr:colOff>1243854</xdr:colOff>
      <xdr:row>141</xdr:row>
      <xdr:rowOff>2259105</xdr:rowOff>
    </xdr:to>
    <xdr:sp macro="" textlink="">
      <xdr:nvSpPr>
        <xdr:cNvPr id="37" name="Signo más 36">
          <a:extLst>
            <a:ext uri="{FF2B5EF4-FFF2-40B4-BE49-F238E27FC236}">
              <a16:creationId xmlns:a16="http://schemas.microsoft.com/office/drawing/2014/main" id="{37BC856B-875E-4628-BFEC-58200899A15C}"/>
            </a:ext>
          </a:extLst>
        </xdr:cNvPr>
        <xdr:cNvSpPr/>
      </xdr:nvSpPr>
      <xdr:spPr>
        <a:xfrm>
          <a:off x="7171765" y="39556764"/>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141</xdr:row>
      <xdr:rowOff>3133164</xdr:rowOff>
    </xdr:from>
    <xdr:to>
      <xdr:col>5</xdr:col>
      <xdr:colOff>1284195</xdr:colOff>
      <xdr:row>141</xdr:row>
      <xdr:rowOff>3532093</xdr:rowOff>
    </xdr:to>
    <xdr:sp macro="" textlink="">
      <xdr:nvSpPr>
        <xdr:cNvPr id="38" name="Signo más 37">
          <a:extLst>
            <a:ext uri="{FF2B5EF4-FFF2-40B4-BE49-F238E27FC236}">
              <a16:creationId xmlns:a16="http://schemas.microsoft.com/office/drawing/2014/main" id="{A2E564B8-1BA6-4767-8121-91C037B58D61}"/>
            </a:ext>
          </a:extLst>
        </xdr:cNvPr>
        <xdr:cNvSpPr/>
      </xdr:nvSpPr>
      <xdr:spPr>
        <a:xfrm>
          <a:off x="7212106" y="40829752"/>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141</xdr:row>
      <xdr:rowOff>4406152</xdr:rowOff>
    </xdr:from>
    <xdr:to>
      <xdr:col>5</xdr:col>
      <xdr:colOff>1313331</xdr:colOff>
      <xdr:row>141</xdr:row>
      <xdr:rowOff>4805081</xdr:rowOff>
    </xdr:to>
    <xdr:sp macro="" textlink="">
      <xdr:nvSpPr>
        <xdr:cNvPr id="39" name="Signo más 38">
          <a:extLst>
            <a:ext uri="{FF2B5EF4-FFF2-40B4-BE49-F238E27FC236}">
              <a16:creationId xmlns:a16="http://schemas.microsoft.com/office/drawing/2014/main" id="{5F78CB93-1FF8-4379-BC74-82BA374621C5}"/>
            </a:ext>
          </a:extLst>
        </xdr:cNvPr>
        <xdr:cNvSpPr/>
      </xdr:nvSpPr>
      <xdr:spPr>
        <a:xfrm>
          <a:off x="7241242" y="42102740"/>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567018</xdr:colOff>
      <xdr:row>141</xdr:row>
      <xdr:rowOff>757517</xdr:rowOff>
    </xdr:from>
    <xdr:to>
      <xdr:col>5</xdr:col>
      <xdr:colOff>1082489</xdr:colOff>
      <xdr:row>141</xdr:row>
      <xdr:rowOff>1156446</xdr:rowOff>
    </xdr:to>
    <xdr:sp macro="" textlink="">
      <xdr:nvSpPr>
        <xdr:cNvPr id="42" name="Signo más 41">
          <a:extLst>
            <a:ext uri="{FF2B5EF4-FFF2-40B4-BE49-F238E27FC236}">
              <a16:creationId xmlns:a16="http://schemas.microsoft.com/office/drawing/2014/main" id="{461F2006-2A06-4E9F-B02E-8EC8DC48A14D}"/>
            </a:ext>
          </a:extLst>
        </xdr:cNvPr>
        <xdr:cNvSpPr/>
      </xdr:nvSpPr>
      <xdr:spPr>
        <a:xfrm>
          <a:off x="7010400" y="38454105"/>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43" name="Conector recto de flecha 42">
          <a:extLst>
            <a:ext uri="{FF2B5EF4-FFF2-40B4-BE49-F238E27FC236}">
              <a16:creationId xmlns:a16="http://schemas.microsoft.com/office/drawing/2014/main" id="{ABF12255-8B42-4FFA-9E05-0600CA265DDF}"/>
            </a:ext>
          </a:extLst>
        </xdr:cNvPr>
        <xdr:cNvCxnSpPr/>
      </xdr:nvCxnSpPr>
      <xdr:spPr>
        <a:xfrm flipH="1" flipV="1">
          <a:off x="13765867" y="19866348"/>
          <a:ext cx="257736" cy="28799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141</xdr:row>
      <xdr:rowOff>2734236</xdr:rowOff>
    </xdr:from>
    <xdr:to>
      <xdr:col>4</xdr:col>
      <xdr:colOff>549088</xdr:colOff>
      <xdr:row>141</xdr:row>
      <xdr:rowOff>3104030</xdr:rowOff>
    </xdr:to>
    <xdr:cxnSp macro="">
      <xdr:nvCxnSpPr>
        <xdr:cNvPr id="44" name="Conector recto de flecha 43">
          <a:extLst>
            <a:ext uri="{FF2B5EF4-FFF2-40B4-BE49-F238E27FC236}">
              <a16:creationId xmlns:a16="http://schemas.microsoft.com/office/drawing/2014/main" id="{A738BB46-4112-4B35-ABA9-DFBE8AD093E9}"/>
            </a:ext>
          </a:extLst>
        </xdr:cNvPr>
        <xdr:cNvCxnSpPr/>
      </xdr:nvCxnSpPr>
      <xdr:spPr>
        <a:xfrm>
          <a:off x="4975412" y="40430824"/>
          <a:ext cx="952500"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141</xdr:row>
      <xdr:rowOff>2125755</xdr:rowOff>
    </xdr:from>
    <xdr:to>
      <xdr:col>3</xdr:col>
      <xdr:colOff>977152</xdr:colOff>
      <xdr:row>141</xdr:row>
      <xdr:rowOff>2203077</xdr:rowOff>
    </xdr:to>
    <xdr:cxnSp macro="">
      <xdr:nvCxnSpPr>
        <xdr:cNvPr id="49" name="Conector recto de flecha 48">
          <a:extLst>
            <a:ext uri="{FF2B5EF4-FFF2-40B4-BE49-F238E27FC236}">
              <a16:creationId xmlns:a16="http://schemas.microsoft.com/office/drawing/2014/main" id="{D3193DC9-BED1-4E3C-9B5B-C00596025522}"/>
            </a:ext>
          </a:extLst>
        </xdr:cNvPr>
        <xdr:cNvCxnSpPr>
          <a:endCxn id="33" idx="1"/>
        </xdr:cNvCxnSpPr>
      </xdr:nvCxnSpPr>
      <xdr:spPr>
        <a:xfrm flipV="1">
          <a:off x="4881283" y="39822343"/>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141</xdr:row>
      <xdr:rowOff>1199030</xdr:rowOff>
    </xdr:from>
    <xdr:to>
      <xdr:col>3</xdr:col>
      <xdr:colOff>818029</xdr:colOff>
      <xdr:row>141</xdr:row>
      <xdr:rowOff>1414183</xdr:rowOff>
    </xdr:to>
    <xdr:cxnSp macro="">
      <xdr:nvCxnSpPr>
        <xdr:cNvPr id="51" name="Conector recto de flecha 50">
          <a:extLst>
            <a:ext uri="{FF2B5EF4-FFF2-40B4-BE49-F238E27FC236}">
              <a16:creationId xmlns:a16="http://schemas.microsoft.com/office/drawing/2014/main" id="{FCB0494B-E3E0-4FD7-A214-DC49FA137782}"/>
            </a:ext>
          </a:extLst>
        </xdr:cNvPr>
        <xdr:cNvCxnSpPr/>
      </xdr:nvCxnSpPr>
      <xdr:spPr>
        <a:xfrm flipV="1">
          <a:off x="4585447" y="38895618"/>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549089</xdr:colOff>
      <xdr:row>0</xdr:row>
      <xdr:rowOff>78441</xdr:rowOff>
    </xdr:from>
    <xdr:to>
      <xdr:col>7</xdr:col>
      <xdr:colOff>941297</xdr:colOff>
      <xdr:row>0</xdr:row>
      <xdr:rowOff>1487910</xdr:rowOff>
    </xdr:to>
    <xdr:pic>
      <xdr:nvPicPr>
        <xdr:cNvPr id="53" name="Imagen 52">
          <a:extLst>
            <a:ext uri="{FF2B5EF4-FFF2-40B4-BE49-F238E27FC236}">
              <a16:creationId xmlns:a16="http://schemas.microsoft.com/office/drawing/2014/main" id="{6958E70E-8AA8-41AB-A363-87297EB0F2E0}"/>
            </a:ext>
          </a:extLst>
        </xdr:cNvPr>
        <xdr:cNvPicPr>
          <a:picLocks noChangeAspect="1"/>
        </xdr:cNvPicPr>
      </xdr:nvPicPr>
      <xdr:blipFill rotWithShape="1">
        <a:blip xmlns:r="http://schemas.openxmlformats.org/officeDocument/2006/relationships" r:embed="rId11"/>
        <a:srcRect t="4420" r="5369"/>
        <a:stretch/>
      </xdr:blipFill>
      <xdr:spPr>
        <a:xfrm>
          <a:off x="8617324" y="78441"/>
          <a:ext cx="1837767" cy="1409469"/>
        </a:xfrm>
        <a:prstGeom prst="rect">
          <a:avLst/>
        </a:prstGeom>
      </xdr:spPr>
    </xdr:pic>
    <xdr:clientData/>
  </xdr:twoCellAnchor>
  <xdr:oneCellAnchor>
    <xdr:from>
      <xdr:col>4</xdr:col>
      <xdr:colOff>493056</xdr:colOff>
      <xdr:row>142</xdr:row>
      <xdr:rowOff>211843</xdr:rowOff>
    </xdr:from>
    <xdr:ext cx="1445561" cy="258805"/>
    <xdr:sp macro="" textlink="">
      <xdr:nvSpPr>
        <xdr:cNvPr id="54" name="CuadroTexto 53">
          <a:extLst>
            <a:ext uri="{FF2B5EF4-FFF2-40B4-BE49-F238E27FC236}">
              <a16:creationId xmlns:a16="http://schemas.microsoft.com/office/drawing/2014/main" id="{710EF8B1-A704-404A-880C-6EDEF067189E}"/>
            </a:ext>
          </a:extLst>
        </xdr:cNvPr>
        <xdr:cNvSpPr txBox="1"/>
      </xdr:nvSpPr>
      <xdr:spPr>
        <a:xfrm>
          <a:off x="5871880" y="42839019"/>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4</xdr:col>
      <xdr:colOff>891986</xdr:colOff>
      <xdr:row>141</xdr:row>
      <xdr:rowOff>3804449</xdr:rowOff>
    </xdr:from>
    <xdr:ext cx="1618131" cy="274492"/>
    <xdr:sp macro="" textlink="">
      <xdr:nvSpPr>
        <xdr:cNvPr id="55" name="CuadroTexto 54">
          <a:extLst>
            <a:ext uri="{FF2B5EF4-FFF2-40B4-BE49-F238E27FC236}">
              <a16:creationId xmlns:a16="http://schemas.microsoft.com/office/drawing/2014/main" id="{B0A3D12B-07FB-4C2F-BA79-67E2559EE1FC}"/>
            </a:ext>
          </a:extLst>
        </xdr:cNvPr>
        <xdr:cNvSpPr txBox="1"/>
      </xdr:nvSpPr>
      <xdr:spPr>
        <a:xfrm>
          <a:off x="6270810" y="41501037"/>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4</xdr:col>
      <xdr:colOff>876298</xdr:colOff>
      <xdr:row>141</xdr:row>
      <xdr:rowOff>2488879</xdr:rowOff>
    </xdr:from>
    <xdr:ext cx="1618131" cy="274492"/>
    <xdr:sp macro="" textlink="">
      <xdr:nvSpPr>
        <xdr:cNvPr id="56" name="CuadroTexto 55">
          <a:extLst>
            <a:ext uri="{FF2B5EF4-FFF2-40B4-BE49-F238E27FC236}">
              <a16:creationId xmlns:a16="http://schemas.microsoft.com/office/drawing/2014/main" id="{4242B8A0-44CF-4EB6-9301-1593FCFDF2A1}"/>
            </a:ext>
          </a:extLst>
        </xdr:cNvPr>
        <xdr:cNvSpPr txBox="1"/>
      </xdr:nvSpPr>
      <xdr:spPr>
        <a:xfrm>
          <a:off x="6255122" y="40185467"/>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oneCellAnchor>
    <xdr:from>
      <xdr:col>5</xdr:col>
      <xdr:colOff>53787</xdr:colOff>
      <xdr:row>141</xdr:row>
      <xdr:rowOff>1285367</xdr:rowOff>
    </xdr:from>
    <xdr:ext cx="1618131" cy="274492"/>
    <xdr:sp macro="" textlink="">
      <xdr:nvSpPr>
        <xdr:cNvPr id="57" name="CuadroTexto 56">
          <a:extLst>
            <a:ext uri="{FF2B5EF4-FFF2-40B4-BE49-F238E27FC236}">
              <a16:creationId xmlns:a16="http://schemas.microsoft.com/office/drawing/2014/main" id="{C6748BB6-5CF2-4E33-BCB2-2294F196FF71}"/>
            </a:ext>
          </a:extLst>
        </xdr:cNvPr>
        <xdr:cNvSpPr txBox="1"/>
      </xdr:nvSpPr>
      <xdr:spPr>
        <a:xfrm>
          <a:off x="6497169" y="38981955"/>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ULTIMO NIVEL</a:t>
          </a:r>
        </a:p>
        <a:p>
          <a:pPr algn="ctr"/>
          <a:endParaRPr lang="es-PA" sz="1100"/>
        </a:p>
        <a:p>
          <a:endParaRPr lang="es-PA"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168088</xdr:colOff>
      <xdr:row>141</xdr:row>
      <xdr:rowOff>818030</xdr:rowOff>
    </xdr:from>
    <xdr:to>
      <xdr:col>3</xdr:col>
      <xdr:colOff>823614</xdr:colOff>
      <xdr:row>141</xdr:row>
      <xdr:rowOff>4381502</xdr:rowOff>
    </xdr:to>
    <xdr:pic>
      <xdr:nvPicPr>
        <xdr:cNvPr id="2" name="Imagen 1">
          <a:extLst>
            <a:ext uri="{FF2B5EF4-FFF2-40B4-BE49-F238E27FC236}">
              <a16:creationId xmlns:a16="http://schemas.microsoft.com/office/drawing/2014/main" id="{C02F487B-7FDC-4A27-BCD3-C376F4CC21EC}"/>
            </a:ext>
          </a:extLst>
        </xdr:cNvPr>
        <xdr:cNvPicPr>
          <a:picLocks noChangeAspect="1"/>
        </xdr:cNvPicPr>
      </xdr:nvPicPr>
      <xdr:blipFill rotWithShape="1">
        <a:blip xmlns:r="http://schemas.openxmlformats.org/officeDocument/2006/relationships" r:embed="rId1"/>
        <a:srcRect l="2976" t="7939" r="1561" b="759"/>
        <a:stretch/>
      </xdr:blipFill>
      <xdr:spPr>
        <a:xfrm>
          <a:off x="168088" y="38556080"/>
          <a:ext cx="4970351" cy="3563472"/>
        </a:xfrm>
        <a:prstGeom prst="rect">
          <a:avLst/>
        </a:prstGeom>
      </xdr:spPr>
    </xdr:pic>
    <xdr:clientData/>
  </xdr:twoCellAnchor>
  <xdr:twoCellAnchor editAs="oneCell">
    <xdr:from>
      <xdr:col>5</xdr:col>
      <xdr:colOff>963706</xdr:colOff>
      <xdr:row>141</xdr:row>
      <xdr:rowOff>268941</xdr:rowOff>
    </xdr:from>
    <xdr:to>
      <xdr:col>7</xdr:col>
      <xdr:colOff>1296849</xdr:colOff>
      <xdr:row>141</xdr:row>
      <xdr:rowOff>976803</xdr:rowOff>
    </xdr:to>
    <xdr:pic>
      <xdr:nvPicPr>
        <xdr:cNvPr id="3" name="Imagen 2">
          <a:extLst>
            <a:ext uri="{FF2B5EF4-FFF2-40B4-BE49-F238E27FC236}">
              <a16:creationId xmlns:a16="http://schemas.microsoft.com/office/drawing/2014/main" id="{5A21F224-B4E2-451A-963E-EE02E2E818AB}"/>
            </a:ext>
          </a:extLst>
        </xdr:cNvPr>
        <xdr:cNvPicPr>
          <a:picLocks noChangeAspect="1"/>
        </xdr:cNvPicPr>
      </xdr:nvPicPr>
      <xdr:blipFill>
        <a:blip xmlns:r="http://schemas.openxmlformats.org/officeDocument/2006/relationships" r:embed="rId2"/>
        <a:stretch>
          <a:fillRect/>
        </a:stretch>
      </xdr:blipFill>
      <xdr:spPr>
        <a:xfrm>
          <a:off x="7412131" y="38006991"/>
          <a:ext cx="3400193" cy="707862"/>
        </a:xfrm>
        <a:prstGeom prst="rect">
          <a:avLst/>
        </a:prstGeom>
      </xdr:spPr>
    </xdr:pic>
    <xdr:clientData/>
  </xdr:twoCellAnchor>
  <xdr:twoCellAnchor editAs="oneCell">
    <xdr:from>
      <xdr:col>4</xdr:col>
      <xdr:colOff>-1</xdr:colOff>
      <xdr:row>141</xdr:row>
      <xdr:rowOff>4112558</xdr:rowOff>
    </xdr:from>
    <xdr:to>
      <xdr:col>5</xdr:col>
      <xdr:colOff>766840</xdr:colOff>
      <xdr:row>142</xdr:row>
      <xdr:rowOff>156880</xdr:rowOff>
    </xdr:to>
    <xdr:pic>
      <xdr:nvPicPr>
        <xdr:cNvPr id="4" name="Imagen 3">
          <a:extLst>
            <a:ext uri="{FF2B5EF4-FFF2-40B4-BE49-F238E27FC236}">
              <a16:creationId xmlns:a16="http://schemas.microsoft.com/office/drawing/2014/main" id="{C5BCCB61-0560-4DB7-A359-59D4D9EF3E6B}"/>
            </a:ext>
          </a:extLst>
        </xdr:cNvPr>
        <xdr:cNvPicPr>
          <a:picLocks noChangeAspect="1"/>
        </xdr:cNvPicPr>
      </xdr:nvPicPr>
      <xdr:blipFill rotWithShape="1">
        <a:blip xmlns:r="http://schemas.openxmlformats.org/officeDocument/2006/relationships" r:embed="rId3"/>
        <a:srcRect l="4422" t="16538" r="736" b="-178"/>
        <a:stretch/>
      </xdr:blipFill>
      <xdr:spPr>
        <a:xfrm>
          <a:off x="5381624" y="41850608"/>
          <a:ext cx="1833641" cy="978272"/>
        </a:xfrm>
        <a:prstGeom prst="rect">
          <a:avLst/>
        </a:prstGeom>
      </xdr:spPr>
    </xdr:pic>
    <xdr:clientData/>
  </xdr:twoCellAnchor>
  <xdr:twoCellAnchor editAs="oneCell">
    <xdr:from>
      <xdr:col>6</xdr:col>
      <xdr:colOff>717177</xdr:colOff>
      <xdr:row>141</xdr:row>
      <xdr:rowOff>1979167</xdr:rowOff>
    </xdr:from>
    <xdr:to>
      <xdr:col>7</xdr:col>
      <xdr:colOff>1703294</xdr:colOff>
      <xdr:row>141</xdr:row>
      <xdr:rowOff>3657444</xdr:rowOff>
    </xdr:to>
    <xdr:pic>
      <xdr:nvPicPr>
        <xdr:cNvPr id="5" name="Imagen 4">
          <a:extLst>
            <a:ext uri="{FF2B5EF4-FFF2-40B4-BE49-F238E27FC236}">
              <a16:creationId xmlns:a16="http://schemas.microsoft.com/office/drawing/2014/main" id="{D3A840DC-8A5C-453F-B979-6F2823042ED9}"/>
            </a:ext>
          </a:extLst>
        </xdr:cNvPr>
        <xdr:cNvPicPr>
          <a:picLocks noChangeAspect="1"/>
        </xdr:cNvPicPr>
      </xdr:nvPicPr>
      <xdr:blipFill>
        <a:blip xmlns:r="http://schemas.openxmlformats.org/officeDocument/2006/relationships" r:embed="rId4"/>
        <a:stretch>
          <a:fillRect/>
        </a:stretch>
      </xdr:blipFill>
      <xdr:spPr>
        <a:xfrm>
          <a:off x="8784852" y="39717217"/>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E66AFFEC-7CAA-41B8-89BD-3D4852B969B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171</xdr:row>
      <xdr:rowOff>66260</xdr:rowOff>
    </xdr:from>
    <xdr:to>
      <xdr:col>7</xdr:col>
      <xdr:colOff>1257836</xdr:colOff>
      <xdr:row>171</xdr:row>
      <xdr:rowOff>808463</xdr:rowOff>
    </xdr:to>
    <xdr:pic>
      <xdr:nvPicPr>
        <xdr:cNvPr id="7" name="Imagen 6" descr="Imagen de WhatsApp 2023-03-09 a las 17.44.48">
          <a:extLst>
            <a:ext uri="{FF2B5EF4-FFF2-40B4-BE49-F238E27FC236}">
              <a16:creationId xmlns:a16="http://schemas.microsoft.com/office/drawing/2014/main" id="{216FCC01-4B7B-426E-867B-6D6EBFB3EE3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5059638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172</xdr:row>
      <xdr:rowOff>47625</xdr:rowOff>
    </xdr:from>
    <xdr:to>
      <xdr:col>7</xdr:col>
      <xdr:colOff>828675</xdr:colOff>
      <xdr:row>172</xdr:row>
      <xdr:rowOff>647700</xdr:rowOff>
    </xdr:to>
    <xdr:pic>
      <xdr:nvPicPr>
        <xdr:cNvPr id="8" name="Imagen 10">
          <a:extLst>
            <a:ext uri="{FF2B5EF4-FFF2-40B4-BE49-F238E27FC236}">
              <a16:creationId xmlns:a16="http://schemas.microsoft.com/office/drawing/2014/main" id="{5617177B-F929-48D1-BC7F-CDD8E79370A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5142547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141</xdr:row>
      <xdr:rowOff>424675</xdr:rowOff>
    </xdr:from>
    <xdr:to>
      <xdr:col>33</xdr:col>
      <xdr:colOff>287574</xdr:colOff>
      <xdr:row>141</xdr:row>
      <xdr:rowOff>2893219</xdr:rowOff>
    </xdr:to>
    <xdr:pic>
      <xdr:nvPicPr>
        <xdr:cNvPr id="9" name="Imagen 8">
          <a:extLst>
            <a:ext uri="{FF2B5EF4-FFF2-40B4-BE49-F238E27FC236}">
              <a16:creationId xmlns:a16="http://schemas.microsoft.com/office/drawing/2014/main" id="{79C3FA7D-2CB8-451F-AB50-536DA9A072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8162725"/>
          <a:ext cx="3692761" cy="2468544"/>
        </a:xfrm>
        <a:prstGeom prst="rect">
          <a:avLst/>
        </a:prstGeom>
      </xdr:spPr>
    </xdr:pic>
    <xdr:clientData/>
  </xdr:twoCellAnchor>
  <xdr:twoCellAnchor editAs="oneCell">
    <xdr:from>
      <xdr:col>25</xdr:col>
      <xdr:colOff>357188</xdr:colOff>
      <xdr:row>141</xdr:row>
      <xdr:rowOff>2428875</xdr:rowOff>
    </xdr:from>
    <xdr:to>
      <xdr:col>27</xdr:col>
      <xdr:colOff>610005</xdr:colOff>
      <xdr:row>141</xdr:row>
      <xdr:rowOff>4485482</xdr:rowOff>
    </xdr:to>
    <xdr:pic>
      <xdr:nvPicPr>
        <xdr:cNvPr id="10" name="Imagen 9">
          <a:extLst>
            <a:ext uri="{FF2B5EF4-FFF2-40B4-BE49-F238E27FC236}">
              <a16:creationId xmlns:a16="http://schemas.microsoft.com/office/drawing/2014/main" id="{62349067-B9D3-4F46-A44C-A1BD45EA43E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40166925"/>
          <a:ext cx="1757767" cy="2056607"/>
        </a:xfrm>
        <a:prstGeom prst="rect">
          <a:avLst/>
        </a:prstGeom>
      </xdr:spPr>
    </xdr:pic>
    <xdr:clientData/>
  </xdr:twoCellAnchor>
  <xdr:twoCellAnchor editAs="oneCell">
    <xdr:from>
      <xdr:col>9</xdr:col>
      <xdr:colOff>0</xdr:colOff>
      <xdr:row>141</xdr:row>
      <xdr:rowOff>0</xdr:rowOff>
    </xdr:from>
    <xdr:to>
      <xdr:col>9</xdr:col>
      <xdr:colOff>304800</xdr:colOff>
      <xdr:row>141</xdr:row>
      <xdr:rowOff>304800</xdr:rowOff>
    </xdr:to>
    <xdr:sp macro="" textlink="">
      <xdr:nvSpPr>
        <xdr:cNvPr id="11" name="AutoShape 1">
          <a:extLst>
            <a:ext uri="{FF2B5EF4-FFF2-40B4-BE49-F238E27FC236}">
              <a16:creationId xmlns:a16="http://schemas.microsoft.com/office/drawing/2014/main" id="{9C9255E3-4030-4A75-9F82-4C516C8F4231}"/>
            </a:ext>
          </a:extLst>
        </xdr:cNvPr>
        <xdr:cNvSpPr>
          <a:spLocks noChangeAspect="1" noChangeArrowheads="1"/>
        </xdr:cNvSpPr>
      </xdr:nvSpPr>
      <xdr:spPr bwMode="auto">
        <a:xfrm>
          <a:off x="12496800" y="3773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114</xdr:row>
      <xdr:rowOff>0</xdr:rowOff>
    </xdr:from>
    <xdr:to>
      <xdr:col>9</xdr:col>
      <xdr:colOff>304800</xdr:colOff>
      <xdr:row>114</xdr:row>
      <xdr:rowOff>301625</xdr:rowOff>
    </xdr:to>
    <xdr:sp macro="" textlink="">
      <xdr:nvSpPr>
        <xdr:cNvPr id="12" name="AutoShape 1">
          <a:extLst>
            <a:ext uri="{FF2B5EF4-FFF2-40B4-BE49-F238E27FC236}">
              <a16:creationId xmlns:a16="http://schemas.microsoft.com/office/drawing/2014/main" id="{A3E2D7D6-07DD-4012-8F2E-085C7C0B4AC1}"/>
            </a:ext>
          </a:extLst>
        </xdr:cNvPr>
        <xdr:cNvSpPr>
          <a:spLocks noChangeAspect="1" noChangeArrowheads="1"/>
        </xdr:cNvSpPr>
      </xdr:nvSpPr>
      <xdr:spPr bwMode="auto">
        <a:xfrm>
          <a:off x="1249680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114</xdr:row>
      <xdr:rowOff>0</xdr:rowOff>
    </xdr:from>
    <xdr:to>
      <xdr:col>11</xdr:col>
      <xdr:colOff>304800</xdr:colOff>
      <xdr:row>114</xdr:row>
      <xdr:rowOff>301625</xdr:rowOff>
    </xdr:to>
    <xdr:sp macro="" textlink="">
      <xdr:nvSpPr>
        <xdr:cNvPr id="13" name="AutoShape 2">
          <a:extLst>
            <a:ext uri="{FF2B5EF4-FFF2-40B4-BE49-F238E27FC236}">
              <a16:creationId xmlns:a16="http://schemas.microsoft.com/office/drawing/2014/main" id="{F77F38F0-D9BA-4A68-A383-1A8454A4648D}"/>
            </a:ext>
          </a:extLst>
        </xdr:cNvPr>
        <xdr:cNvSpPr>
          <a:spLocks noChangeAspect="1" noChangeArrowheads="1"/>
        </xdr:cNvSpPr>
      </xdr:nvSpPr>
      <xdr:spPr bwMode="auto">
        <a:xfrm>
          <a:off x="1491615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141</xdr:row>
      <xdr:rowOff>3451412</xdr:rowOff>
    </xdr:from>
    <xdr:to>
      <xdr:col>4</xdr:col>
      <xdr:colOff>493058</xdr:colOff>
      <xdr:row>141</xdr:row>
      <xdr:rowOff>4303059</xdr:rowOff>
    </xdr:to>
    <xdr:cxnSp macro="">
      <xdr:nvCxnSpPr>
        <xdr:cNvPr id="14" name="Conector recto de flecha 13">
          <a:extLst>
            <a:ext uri="{FF2B5EF4-FFF2-40B4-BE49-F238E27FC236}">
              <a16:creationId xmlns:a16="http://schemas.microsoft.com/office/drawing/2014/main" id="{35340A46-0158-4D68-BDA0-4B5F624CE82C}"/>
            </a:ext>
          </a:extLst>
        </xdr:cNvPr>
        <xdr:cNvCxnSpPr/>
      </xdr:nvCxnSpPr>
      <xdr:spPr>
        <a:xfrm>
          <a:off x="4707031" y="41189462"/>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141</xdr:row>
      <xdr:rowOff>2577353</xdr:rowOff>
    </xdr:from>
    <xdr:ext cx="773207" cy="448236"/>
    <xdr:sp macro="" textlink="">
      <xdr:nvSpPr>
        <xdr:cNvPr id="15" name="CuadroTexto 14">
          <a:extLst>
            <a:ext uri="{FF2B5EF4-FFF2-40B4-BE49-F238E27FC236}">
              <a16:creationId xmlns:a16="http://schemas.microsoft.com/office/drawing/2014/main" id="{C155E79B-AC5E-4F01-B162-66D04A55FEFF}"/>
            </a:ext>
          </a:extLst>
        </xdr:cNvPr>
        <xdr:cNvSpPr txBox="1"/>
      </xdr:nvSpPr>
      <xdr:spPr>
        <a:xfrm>
          <a:off x="8986557" y="40315403"/>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141</xdr:row>
      <xdr:rowOff>4647028</xdr:rowOff>
    </xdr:from>
    <xdr:ext cx="896472" cy="261149"/>
    <xdr:sp macro="" textlink="">
      <xdr:nvSpPr>
        <xdr:cNvPr id="16" name="CuadroTexto 15">
          <a:extLst>
            <a:ext uri="{FF2B5EF4-FFF2-40B4-BE49-F238E27FC236}">
              <a16:creationId xmlns:a16="http://schemas.microsoft.com/office/drawing/2014/main" id="{CE10AD6D-2734-40B0-8A80-B9606D10F6D5}"/>
            </a:ext>
          </a:extLst>
        </xdr:cNvPr>
        <xdr:cNvSpPr txBox="1"/>
      </xdr:nvSpPr>
      <xdr:spPr>
        <a:xfrm>
          <a:off x="21488958" y="42385078"/>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6</xdr:col>
      <xdr:colOff>1069040</xdr:colOff>
      <xdr:row>141</xdr:row>
      <xdr:rowOff>1090384</xdr:rowOff>
    </xdr:from>
    <xdr:ext cx="1650073" cy="243117"/>
    <xdr:sp macro="" textlink="">
      <xdr:nvSpPr>
        <xdr:cNvPr id="17" name="CuadroTexto 16">
          <a:extLst>
            <a:ext uri="{FF2B5EF4-FFF2-40B4-BE49-F238E27FC236}">
              <a16:creationId xmlns:a16="http://schemas.microsoft.com/office/drawing/2014/main" id="{014FC2D3-7215-4262-AA0B-6AEB36925070}"/>
            </a:ext>
          </a:extLst>
        </xdr:cNvPr>
        <xdr:cNvSpPr txBox="1"/>
      </xdr:nvSpPr>
      <xdr:spPr>
        <a:xfrm>
          <a:off x="9136715" y="38828434"/>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5</xdr:col>
      <xdr:colOff>1508878</xdr:colOff>
      <xdr:row>141</xdr:row>
      <xdr:rowOff>302025</xdr:rowOff>
    </xdr:from>
    <xdr:to>
      <xdr:col>6</xdr:col>
      <xdr:colOff>324970</xdr:colOff>
      <xdr:row>141</xdr:row>
      <xdr:rowOff>481854</xdr:rowOff>
    </xdr:to>
    <xdr:cxnSp macro="">
      <xdr:nvCxnSpPr>
        <xdr:cNvPr id="18" name="Conector recto de flecha 17">
          <a:extLst>
            <a:ext uri="{FF2B5EF4-FFF2-40B4-BE49-F238E27FC236}">
              <a16:creationId xmlns:a16="http://schemas.microsoft.com/office/drawing/2014/main" id="{FDCC6D82-F57D-471E-9264-0E7FA6D4AADB}"/>
            </a:ext>
          </a:extLst>
        </xdr:cNvPr>
        <xdr:cNvCxnSpPr>
          <a:stCxn id="20" idx="3"/>
        </xdr:cNvCxnSpPr>
      </xdr:nvCxnSpPr>
      <xdr:spPr>
        <a:xfrm>
          <a:off x="7957303" y="38040075"/>
          <a:ext cx="435342"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907677</xdr:colOff>
      <xdr:row>141</xdr:row>
      <xdr:rowOff>605118</xdr:rowOff>
    </xdr:from>
    <xdr:to>
      <xdr:col>7</xdr:col>
      <xdr:colOff>448518</xdr:colOff>
      <xdr:row>141</xdr:row>
      <xdr:rowOff>1090384</xdr:rowOff>
    </xdr:to>
    <xdr:cxnSp macro="">
      <xdr:nvCxnSpPr>
        <xdr:cNvPr id="19" name="Conector recto de flecha 18">
          <a:extLst>
            <a:ext uri="{FF2B5EF4-FFF2-40B4-BE49-F238E27FC236}">
              <a16:creationId xmlns:a16="http://schemas.microsoft.com/office/drawing/2014/main" id="{209B5749-5A7F-4DF6-B90F-EABA179FD456}"/>
            </a:ext>
          </a:extLst>
        </xdr:cNvPr>
        <xdr:cNvCxnSpPr>
          <a:stCxn id="17" idx="0"/>
        </xdr:cNvCxnSpPr>
      </xdr:nvCxnSpPr>
      <xdr:spPr>
        <a:xfrm flipH="1" flipV="1">
          <a:off x="8975352" y="38343168"/>
          <a:ext cx="988641"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414617</xdr:colOff>
      <xdr:row>141</xdr:row>
      <xdr:rowOff>54960</xdr:rowOff>
    </xdr:from>
    <xdr:ext cx="1094261" cy="494129"/>
    <xdr:sp macro="" textlink="">
      <xdr:nvSpPr>
        <xdr:cNvPr id="20" name="CuadroTexto 19">
          <a:extLst>
            <a:ext uri="{FF2B5EF4-FFF2-40B4-BE49-F238E27FC236}">
              <a16:creationId xmlns:a16="http://schemas.microsoft.com/office/drawing/2014/main" id="{F5979E73-A512-4029-84F3-A566140D340B}"/>
            </a:ext>
          </a:extLst>
        </xdr:cNvPr>
        <xdr:cNvSpPr txBox="1"/>
      </xdr:nvSpPr>
      <xdr:spPr>
        <a:xfrm>
          <a:off x="6863042" y="37793010"/>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141</xdr:row>
      <xdr:rowOff>4639235</xdr:rowOff>
    </xdr:from>
    <xdr:ext cx="2860309" cy="291039"/>
    <xdr:sp macro="" textlink="">
      <xdr:nvSpPr>
        <xdr:cNvPr id="21" name="CuadroTexto 20">
          <a:extLst>
            <a:ext uri="{FF2B5EF4-FFF2-40B4-BE49-F238E27FC236}">
              <a16:creationId xmlns:a16="http://schemas.microsoft.com/office/drawing/2014/main" id="{43EDF435-9B69-4284-BD96-1A21C61B3559}"/>
            </a:ext>
          </a:extLst>
        </xdr:cNvPr>
        <xdr:cNvSpPr txBox="1"/>
      </xdr:nvSpPr>
      <xdr:spPr>
        <a:xfrm>
          <a:off x="728382" y="42377285"/>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141</xdr:row>
      <xdr:rowOff>4235824</xdr:rowOff>
    </xdr:from>
    <xdr:to>
      <xdr:col>6</xdr:col>
      <xdr:colOff>723553</xdr:colOff>
      <xdr:row>142</xdr:row>
      <xdr:rowOff>165384</xdr:rowOff>
    </xdr:to>
    <xdr:pic>
      <xdr:nvPicPr>
        <xdr:cNvPr id="22" name="Imagen 21">
          <a:extLst>
            <a:ext uri="{FF2B5EF4-FFF2-40B4-BE49-F238E27FC236}">
              <a16:creationId xmlns:a16="http://schemas.microsoft.com/office/drawing/2014/main" id="{852EA31C-BCA7-4AA4-9EE5-682BC9706196}"/>
            </a:ext>
          </a:extLst>
        </xdr:cNvPr>
        <xdr:cNvPicPr>
          <a:picLocks noChangeAspect="1"/>
        </xdr:cNvPicPr>
      </xdr:nvPicPr>
      <xdr:blipFill rotWithShape="1">
        <a:blip xmlns:r="http://schemas.openxmlformats.org/officeDocument/2006/relationships" r:embed="rId10"/>
        <a:srcRect l="6049" t="8786"/>
        <a:stretch/>
      </xdr:blipFill>
      <xdr:spPr>
        <a:xfrm>
          <a:off x="7623161" y="41973874"/>
          <a:ext cx="1168067" cy="863510"/>
        </a:xfrm>
        <a:prstGeom prst="rect">
          <a:avLst/>
        </a:prstGeom>
      </xdr:spPr>
    </xdr:pic>
    <xdr:clientData/>
  </xdr:twoCellAnchor>
  <xdr:oneCellAnchor>
    <xdr:from>
      <xdr:col>9</xdr:col>
      <xdr:colOff>0</xdr:colOff>
      <xdr:row>121</xdr:row>
      <xdr:rowOff>0</xdr:rowOff>
    </xdr:from>
    <xdr:ext cx="304800" cy="301625"/>
    <xdr:sp macro="" textlink="">
      <xdr:nvSpPr>
        <xdr:cNvPr id="23" name="AutoShape 1">
          <a:extLst>
            <a:ext uri="{FF2B5EF4-FFF2-40B4-BE49-F238E27FC236}">
              <a16:creationId xmlns:a16="http://schemas.microsoft.com/office/drawing/2014/main" id="{C0487D1B-120A-43E0-BC89-DB057655D34B}"/>
            </a:ext>
          </a:extLst>
        </xdr:cNvPr>
        <xdr:cNvSpPr>
          <a:spLocks noChangeAspect="1" noChangeArrowheads="1"/>
        </xdr:cNvSpPr>
      </xdr:nvSpPr>
      <xdr:spPr bwMode="auto">
        <a:xfrm>
          <a:off x="1249680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4" name="AutoShape 2">
          <a:extLst>
            <a:ext uri="{FF2B5EF4-FFF2-40B4-BE49-F238E27FC236}">
              <a16:creationId xmlns:a16="http://schemas.microsoft.com/office/drawing/2014/main" id="{DE4F3CE2-05D9-4C8C-B134-D38E232FBA07}"/>
            </a:ext>
          </a:extLst>
        </xdr:cNvPr>
        <xdr:cNvSpPr>
          <a:spLocks noChangeAspect="1" noChangeArrowheads="1"/>
        </xdr:cNvSpPr>
      </xdr:nvSpPr>
      <xdr:spPr bwMode="auto">
        <a:xfrm>
          <a:off x="1491615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128</xdr:row>
      <xdr:rowOff>0</xdr:rowOff>
    </xdr:from>
    <xdr:ext cx="304800" cy="301625"/>
    <xdr:sp macro="" textlink="">
      <xdr:nvSpPr>
        <xdr:cNvPr id="25" name="AutoShape 1">
          <a:extLst>
            <a:ext uri="{FF2B5EF4-FFF2-40B4-BE49-F238E27FC236}">
              <a16:creationId xmlns:a16="http://schemas.microsoft.com/office/drawing/2014/main" id="{0552FFD6-92E6-4552-94E3-FE438E373F4F}"/>
            </a:ext>
          </a:extLst>
        </xdr:cNvPr>
        <xdr:cNvSpPr>
          <a:spLocks noChangeAspect="1" noChangeArrowheads="1"/>
        </xdr:cNvSpPr>
      </xdr:nvSpPr>
      <xdr:spPr bwMode="auto">
        <a:xfrm>
          <a:off x="1249680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xdr:row>
      <xdr:rowOff>0</xdr:rowOff>
    </xdr:from>
    <xdr:ext cx="304800" cy="301625"/>
    <xdr:sp macro="" textlink="">
      <xdr:nvSpPr>
        <xdr:cNvPr id="26" name="AutoShape 2">
          <a:extLst>
            <a:ext uri="{FF2B5EF4-FFF2-40B4-BE49-F238E27FC236}">
              <a16:creationId xmlns:a16="http://schemas.microsoft.com/office/drawing/2014/main" id="{732D6D11-A317-432A-BF01-8554241E26A4}"/>
            </a:ext>
          </a:extLst>
        </xdr:cNvPr>
        <xdr:cNvSpPr>
          <a:spLocks noChangeAspect="1" noChangeArrowheads="1"/>
        </xdr:cNvSpPr>
      </xdr:nvSpPr>
      <xdr:spPr bwMode="auto">
        <a:xfrm>
          <a:off x="1491615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134</xdr:row>
      <xdr:rowOff>0</xdr:rowOff>
    </xdr:from>
    <xdr:ext cx="304800" cy="301625"/>
    <xdr:sp macro="" textlink="">
      <xdr:nvSpPr>
        <xdr:cNvPr id="27" name="AutoShape 1">
          <a:extLst>
            <a:ext uri="{FF2B5EF4-FFF2-40B4-BE49-F238E27FC236}">
              <a16:creationId xmlns:a16="http://schemas.microsoft.com/office/drawing/2014/main" id="{A8C00EE2-B848-449B-BD5C-86E99B6AB262}"/>
            </a:ext>
          </a:extLst>
        </xdr:cNvPr>
        <xdr:cNvSpPr>
          <a:spLocks noChangeAspect="1" noChangeArrowheads="1"/>
        </xdr:cNvSpPr>
      </xdr:nvSpPr>
      <xdr:spPr bwMode="auto">
        <a:xfrm>
          <a:off x="1249680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134</xdr:row>
      <xdr:rowOff>0</xdr:rowOff>
    </xdr:from>
    <xdr:ext cx="304800" cy="301625"/>
    <xdr:sp macro="" textlink="">
      <xdr:nvSpPr>
        <xdr:cNvPr id="28" name="AutoShape 2">
          <a:extLst>
            <a:ext uri="{FF2B5EF4-FFF2-40B4-BE49-F238E27FC236}">
              <a16:creationId xmlns:a16="http://schemas.microsoft.com/office/drawing/2014/main" id="{BAA864EF-B41A-427E-BE62-7C7FDEA746F5}"/>
            </a:ext>
          </a:extLst>
        </xdr:cNvPr>
        <xdr:cNvSpPr>
          <a:spLocks noChangeAspect="1" noChangeArrowheads="1"/>
        </xdr:cNvSpPr>
      </xdr:nvSpPr>
      <xdr:spPr bwMode="auto">
        <a:xfrm>
          <a:off x="1491615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141</xdr:row>
      <xdr:rowOff>2853017</xdr:rowOff>
    </xdr:from>
    <xdr:to>
      <xdr:col>5</xdr:col>
      <xdr:colOff>762357</xdr:colOff>
      <xdr:row>141</xdr:row>
      <xdr:rowOff>3827927</xdr:rowOff>
    </xdr:to>
    <xdr:pic>
      <xdr:nvPicPr>
        <xdr:cNvPr id="29" name="Imagen 28">
          <a:extLst>
            <a:ext uri="{FF2B5EF4-FFF2-40B4-BE49-F238E27FC236}">
              <a16:creationId xmlns:a16="http://schemas.microsoft.com/office/drawing/2014/main" id="{5DA2B8A7-95D8-41B3-876C-29A4A7A38716}"/>
            </a:ext>
          </a:extLst>
        </xdr:cNvPr>
        <xdr:cNvPicPr>
          <a:picLocks noChangeAspect="1"/>
        </xdr:cNvPicPr>
      </xdr:nvPicPr>
      <xdr:blipFill rotWithShape="1">
        <a:blip xmlns:r="http://schemas.openxmlformats.org/officeDocument/2006/relationships" r:embed="rId3"/>
        <a:srcRect l="4422" t="16538" r="736" b="-178"/>
        <a:stretch/>
      </xdr:blipFill>
      <xdr:spPr>
        <a:xfrm>
          <a:off x="5374900" y="40591067"/>
          <a:ext cx="1835882" cy="974910"/>
        </a:xfrm>
        <a:prstGeom prst="rect">
          <a:avLst/>
        </a:prstGeom>
      </xdr:spPr>
    </xdr:pic>
    <xdr:clientData/>
  </xdr:twoCellAnchor>
  <xdr:twoCellAnchor editAs="oneCell">
    <xdr:from>
      <xdr:col>5</xdr:col>
      <xdr:colOff>1170253</xdr:colOff>
      <xdr:row>141</xdr:row>
      <xdr:rowOff>2976283</xdr:rowOff>
    </xdr:from>
    <xdr:to>
      <xdr:col>6</xdr:col>
      <xdr:colOff>719070</xdr:colOff>
      <xdr:row>141</xdr:row>
      <xdr:rowOff>3836431</xdr:rowOff>
    </xdr:to>
    <xdr:pic>
      <xdr:nvPicPr>
        <xdr:cNvPr id="30" name="Imagen 29">
          <a:extLst>
            <a:ext uri="{FF2B5EF4-FFF2-40B4-BE49-F238E27FC236}">
              <a16:creationId xmlns:a16="http://schemas.microsoft.com/office/drawing/2014/main" id="{3813D259-6805-49C2-BE8B-E609D5672919}"/>
            </a:ext>
          </a:extLst>
        </xdr:cNvPr>
        <xdr:cNvPicPr>
          <a:picLocks noChangeAspect="1"/>
        </xdr:cNvPicPr>
      </xdr:nvPicPr>
      <xdr:blipFill rotWithShape="1">
        <a:blip xmlns:r="http://schemas.openxmlformats.org/officeDocument/2006/relationships" r:embed="rId10"/>
        <a:srcRect l="6049" t="8786"/>
        <a:stretch/>
      </xdr:blipFill>
      <xdr:spPr>
        <a:xfrm>
          <a:off x="7618678" y="40714333"/>
          <a:ext cx="1168067" cy="860148"/>
        </a:xfrm>
        <a:prstGeom prst="rect">
          <a:avLst/>
        </a:prstGeom>
      </xdr:spPr>
    </xdr:pic>
    <xdr:clientData/>
  </xdr:twoCellAnchor>
  <xdr:twoCellAnchor editAs="oneCell">
    <xdr:from>
      <xdr:col>3</xdr:col>
      <xdr:colOff>977152</xdr:colOff>
      <xdr:row>141</xdr:row>
      <xdr:rowOff>1638300</xdr:rowOff>
    </xdr:from>
    <xdr:to>
      <xdr:col>5</xdr:col>
      <xdr:colOff>679434</xdr:colOff>
      <xdr:row>141</xdr:row>
      <xdr:rowOff>2613210</xdr:rowOff>
    </xdr:to>
    <xdr:pic>
      <xdr:nvPicPr>
        <xdr:cNvPr id="31" name="Imagen 30">
          <a:extLst>
            <a:ext uri="{FF2B5EF4-FFF2-40B4-BE49-F238E27FC236}">
              <a16:creationId xmlns:a16="http://schemas.microsoft.com/office/drawing/2014/main" id="{950F9338-7DD9-4850-B2F0-E11F5E62E7F4}"/>
            </a:ext>
          </a:extLst>
        </xdr:cNvPr>
        <xdr:cNvPicPr>
          <a:picLocks noChangeAspect="1"/>
        </xdr:cNvPicPr>
      </xdr:nvPicPr>
      <xdr:blipFill rotWithShape="1">
        <a:blip xmlns:r="http://schemas.openxmlformats.org/officeDocument/2006/relationships" r:embed="rId3"/>
        <a:srcRect l="4422" t="16538" r="736" b="-178"/>
        <a:stretch/>
      </xdr:blipFill>
      <xdr:spPr>
        <a:xfrm>
          <a:off x="5291977" y="39376350"/>
          <a:ext cx="1835882" cy="974910"/>
        </a:xfrm>
        <a:prstGeom prst="rect">
          <a:avLst/>
        </a:prstGeom>
      </xdr:spPr>
    </xdr:pic>
    <xdr:clientData/>
  </xdr:twoCellAnchor>
  <xdr:twoCellAnchor editAs="oneCell">
    <xdr:from>
      <xdr:col>5</xdr:col>
      <xdr:colOff>1087330</xdr:colOff>
      <xdr:row>141</xdr:row>
      <xdr:rowOff>1761566</xdr:rowOff>
    </xdr:from>
    <xdr:to>
      <xdr:col>6</xdr:col>
      <xdr:colOff>636147</xdr:colOff>
      <xdr:row>141</xdr:row>
      <xdr:rowOff>2621714</xdr:rowOff>
    </xdr:to>
    <xdr:pic>
      <xdr:nvPicPr>
        <xdr:cNvPr id="32" name="Imagen 31">
          <a:extLst>
            <a:ext uri="{FF2B5EF4-FFF2-40B4-BE49-F238E27FC236}">
              <a16:creationId xmlns:a16="http://schemas.microsoft.com/office/drawing/2014/main" id="{08BAB050-C030-414B-BEB8-63877410039B}"/>
            </a:ext>
          </a:extLst>
        </xdr:cNvPr>
        <xdr:cNvPicPr>
          <a:picLocks noChangeAspect="1"/>
        </xdr:cNvPicPr>
      </xdr:nvPicPr>
      <xdr:blipFill rotWithShape="1">
        <a:blip xmlns:r="http://schemas.openxmlformats.org/officeDocument/2006/relationships" r:embed="rId10"/>
        <a:srcRect l="6049" t="8786"/>
        <a:stretch/>
      </xdr:blipFill>
      <xdr:spPr>
        <a:xfrm>
          <a:off x="7535755" y="39499616"/>
          <a:ext cx="1168067" cy="860148"/>
        </a:xfrm>
        <a:prstGeom prst="rect">
          <a:avLst/>
        </a:prstGeom>
      </xdr:spPr>
    </xdr:pic>
    <xdr:clientData/>
  </xdr:twoCellAnchor>
  <xdr:twoCellAnchor editAs="oneCell">
    <xdr:from>
      <xdr:col>3</xdr:col>
      <xdr:colOff>838199</xdr:colOff>
      <xdr:row>141</xdr:row>
      <xdr:rowOff>569258</xdr:rowOff>
    </xdr:from>
    <xdr:to>
      <xdr:col>5</xdr:col>
      <xdr:colOff>540481</xdr:colOff>
      <xdr:row>141</xdr:row>
      <xdr:rowOff>1544168</xdr:rowOff>
    </xdr:to>
    <xdr:pic>
      <xdr:nvPicPr>
        <xdr:cNvPr id="33" name="Imagen 32">
          <a:extLst>
            <a:ext uri="{FF2B5EF4-FFF2-40B4-BE49-F238E27FC236}">
              <a16:creationId xmlns:a16="http://schemas.microsoft.com/office/drawing/2014/main" id="{7E96466D-803B-413E-8367-09124744CAA6}"/>
            </a:ext>
          </a:extLst>
        </xdr:cNvPr>
        <xdr:cNvPicPr>
          <a:picLocks noChangeAspect="1"/>
        </xdr:cNvPicPr>
      </xdr:nvPicPr>
      <xdr:blipFill rotWithShape="1">
        <a:blip xmlns:r="http://schemas.openxmlformats.org/officeDocument/2006/relationships" r:embed="rId3"/>
        <a:srcRect l="4422" t="16538" r="736" b="-178"/>
        <a:stretch/>
      </xdr:blipFill>
      <xdr:spPr>
        <a:xfrm>
          <a:off x="5153024" y="38307308"/>
          <a:ext cx="1835882" cy="974910"/>
        </a:xfrm>
        <a:prstGeom prst="rect">
          <a:avLst/>
        </a:prstGeom>
      </xdr:spPr>
    </xdr:pic>
    <xdr:clientData/>
  </xdr:twoCellAnchor>
  <xdr:twoCellAnchor>
    <xdr:from>
      <xdr:col>5</xdr:col>
      <xdr:colOff>728383</xdr:colOff>
      <xdr:row>141</xdr:row>
      <xdr:rowOff>1860176</xdr:rowOff>
    </xdr:from>
    <xdr:to>
      <xdr:col>5</xdr:col>
      <xdr:colOff>1243854</xdr:colOff>
      <xdr:row>141</xdr:row>
      <xdr:rowOff>2259105</xdr:rowOff>
    </xdr:to>
    <xdr:sp macro="" textlink="">
      <xdr:nvSpPr>
        <xdr:cNvPr id="34" name="Signo más 33">
          <a:extLst>
            <a:ext uri="{FF2B5EF4-FFF2-40B4-BE49-F238E27FC236}">
              <a16:creationId xmlns:a16="http://schemas.microsoft.com/office/drawing/2014/main" id="{24C08C80-A213-4830-ADBE-3EAC005E44B4}"/>
            </a:ext>
          </a:extLst>
        </xdr:cNvPr>
        <xdr:cNvSpPr/>
      </xdr:nvSpPr>
      <xdr:spPr>
        <a:xfrm>
          <a:off x="7176808" y="39598226"/>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141</xdr:row>
      <xdr:rowOff>3133164</xdr:rowOff>
    </xdr:from>
    <xdr:to>
      <xdr:col>5</xdr:col>
      <xdr:colOff>1284195</xdr:colOff>
      <xdr:row>141</xdr:row>
      <xdr:rowOff>3532093</xdr:rowOff>
    </xdr:to>
    <xdr:sp macro="" textlink="">
      <xdr:nvSpPr>
        <xdr:cNvPr id="35" name="Signo más 34">
          <a:extLst>
            <a:ext uri="{FF2B5EF4-FFF2-40B4-BE49-F238E27FC236}">
              <a16:creationId xmlns:a16="http://schemas.microsoft.com/office/drawing/2014/main" id="{ED4F85BC-87B4-472E-B947-935B29D3CE8C}"/>
            </a:ext>
          </a:extLst>
        </xdr:cNvPr>
        <xdr:cNvSpPr/>
      </xdr:nvSpPr>
      <xdr:spPr>
        <a:xfrm>
          <a:off x="7217149" y="40871214"/>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141</xdr:row>
      <xdr:rowOff>4406152</xdr:rowOff>
    </xdr:from>
    <xdr:to>
      <xdr:col>5</xdr:col>
      <xdr:colOff>1313331</xdr:colOff>
      <xdr:row>141</xdr:row>
      <xdr:rowOff>4805081</xdr:rowOff>
    </xdr:to>
    <xdr:sp macro="" textlink="">
      <xdr:nvSpPr>
        <xdr:cNvPr id="36" name="Signo más 35">
          <a:extLst>
            <a:ext uri="{FF2B5EF4-FFF2-40B4-BE49-F238E27FC236}">
              <a16:creationId xmlns:a16="http://schemas.microsoft.com/office/drawing/2014/main" id="{C2783F01-5407-4394-8F02-A19434197A8C}"/>
            </a:ext>
          </a:extLst>
        </xdr:cNvPr>
        <xdr:cNvSpPr/>
      </xdr:nvSpPr>
      <xdr:spPr>
        <a:xfrm>
          <a:off x="7246285" y="42144202"/>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567018</xdr:colOff>
      <xdr:row>141</xdr:row>
      <xdr:rowOff>757517</xdr:rowOff>
    </xdr:from>
    <xdr:to>
      <xdr:col>5</xdr:col>
      <xdr:colOff>1082489</xdr:colOff>
      <xdr:row>141</xdr:row>
      <xdr:rowOff>1156446</xdr:rowOff>
    </xdr:to>
    <xdr:sp macro="" textlink="">
      <xdr:nvSpPr>
        <xdr:cNvPr id="37" name="Signo más 36">
          <a:extLst>
            <a:ext uri="{FF2B5EF4-FFF2-40B4-BE49-F238E27FC236}">
              <a16:creationId xmlns:a16="http://schemas.microsoft.com/office/drawing/2014/main" id="{B062A0DF-E6BD-4CE6-B28D-C7954F671BCD}"/>
            </a:ext>
          </a:extLst>
        </xdr:cNvPr>
        <xdr:cNvSpPr/>
      </xdr:nvSpPr>
      <xdr:spPr>
        <a:xfrm>
          <a:off x="7015443" y="38495567"/>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8" name="Conector recto de flecha 37">
          <a:extLst>
            <a:ext uri="{FF2B5EF4-FFF2-40B4-BE49-F238E27FC236}">
              <a16:creationId xmlns:a16="http://schemas.microsoft.com/office/drawing/2014/main" id="{495166FD-5A93-4DDE-AA4A-029670AF1EE8}"/>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141</xdr:row>
      <xdr:rowOff>2734236</xdr:rowOff>
    </xdr:from>
    <xdr:to>
      <xdr:col>4</xdr:col>
      <xdr:colOff>549088</xdr:colOff>
      <xdr:row>141</xdr:row>
      <xdr:rowOff>3104030</xdr:rowOff>
    </xdr:to>
    <xdr:cxnSp macro="">
      <xdr:nvCxnSpPr>
        <xdr:cNvPr id="39" name="Conector recto de flecha 38">
          <a:extLst>
            <a:ext uri="{FF2B5EF4-FFF2-40B4-BE49-F238E27FC236}">
              <a16:creationId xmlns:a16="http://schemas.microsoft.com/office/drawing/2014/main" id="{26357E4C-329F-498D-8FB7-08755ADC29D9}"/>
            </a:ext>
          </a:extLst>
        </xdr:cNvPr>
        <xdr:cNvCxnSpPr/>
      </xdr:nvCxnSpPr>
      <xdr:spPr>
        <a:xfrm>
          <a:off x="4975972" y="40472286"/>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141</xdr:row>
      <xdr:rowOff>2125755</xdr:rowOff>
    </xdr:from>
    <xdr:to>
      <xdr:col>3</xdr:col>
      <xdr:colOff>977152</xdr:colOff>
      <xdr:row>141</xdr:row>
      <xdr:rowOff>2203077</xdr:rowOff>
    </xdr:to>
    <xdr:cxnSp macro="">
      <xdr:nvCxnSpPr>
        <xdr:cNvPr id="40" name="Conector recto de flecha 39">
          <a:extLst>
            <a:ext uri="{FF2B5EF4-FFF2-40B4-BE49-F238E27FC236}">
              <a16:creationId xmlns:a16="http://schemas.microsoft.com/office/drawing/2014/main" id="{9DB75A6F-D58C-4355-AF28-67683370529D}"/>
            </a:ext>
          </a:extLst>
        </xdr:cNvPr>
        <xdr:cNvCxnSpPr>
          <a:endCxn id="31" idx="1"/>
        </xdr:cNvCxnSpPr>
      </xdr:nvCxnSpPr>
      <xdr:spPr>
        <a:xfrm flipV="1">
          <a:off x="4881843" y="39863805"/>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141</xdr:row>
      <xdr:rowOff>1199030</xdr:rowOff>
    </xdr:from>
    <xdr:to>
      <xdr:col>3</xdr:col>
      <xdr:colOff>818029</xdr:colOff>
      <xdr:row>141</xdr:row>
      <xdr:rowOff>1414183</xdr:rowOff>
    </xdr:to>
    <xdr:cxnSp macro="">
      <xdr:nvCxnSpPr>
        <xdr:cNvPr id="41" name="Conector recto de flecha 40">
          <a:extLst>
            <a:ext uri="{FF2B5EF4-FFF2-40B4-BE49-F238E27FC236}">
              <a16:creationId xmlns:a16="http://schemas.microsoft.com/office/drawing/2014/main" id="{5C1647ED-8315-49D4-8CD2-1BF815B4BB68}"/>
            </a:ext>
          </a:extLst>
        </xdr:cNvPr>
        <xdr:cNvCxnSpPr/>
      </xdr:nvCxnSpPr>
      <xdr:spPr>
        <a:xfrm flipV="1">
          <a:off x="4586007" y="38937080"/>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605116</xdr:colOff>
      <xdr:row>0</xdr:row>
      <xdr:rowOff>93682</xdr:rowOff>
    </xdr:from>
    <xdr:to>
      <xdr:col>7</xdr:col>
      <xdr:colOff>997324</xdr:colOff>
      <xdr:row>0</xdr:row>
      <xdr:rowOff>1503151</xdr:rowOff>
    </xdr:to>
    <xdr:pic>
      <xdr:nvPicPr>
        <xdr:cNvPr id="42" name="Imagen 41">
          <a:extLst>
            <a:ext uri="{FF2B5EF4-FFF2-40B4-BE49-F238E27FC236}">
              <a16:creationId xmlns:a16="http://schemas.microsoft.com/office/drawing/2014/main" id="{8D3C6F1E-7D7C-42F9-AB6A-55DB0C947DDD}"/>
            </a:ext>
          </a:extLst>
        </xdr:cNvPr>
        <xdr:cNvPicPr>
          <a:picLocks noChangeAspect="1"/>
        </xdr:cNvPicPr>
      </xdr:nvPicPr>
      <xdr:blipFill rotWithShape="1">
        <a:blip xmlns:r="http://schemas.openxmlformats.org/officeDocument/2006/relationships" r:embed="rId11"/>
        <a:srcRect t="4420" r="5369"/>
        <a:stretch/>
      </xdr:blipFill>
      <xdr:spPr>
        <a:xfrm>
          <a:off x="8673351" y="93682"/>
          <a:ext cx="1837767" cy="1409469"/>
        </a:xfrm>
        <a:prstGeom prst="rect">
          <a:avLst/>
        </a:prstGeom>
      </xdr:spPr>
    </xdr:pic>
    <xdr:clientData/>
  </xdr:twoCellAnchor>
  <xdr:oneCellAnchor>
    <xdr:from>
      <xdr:col>4</xdr:col>
      <xdr:colOff>515471</xdr:colOff>
      <xdr:row>142</xdr:row>
      <xdr:rowOff>203946</xdr:rowOff>
    </xdr:from>
    <xdr:ext cx="1445561" cy="258805"/>
    <xdr:sp macro="" textlink="">
      <xdr:nvSpPr>
        <xdr:cNvPr id="43" name="CuadroTexto 42">
          <a:extLst>
            <a:ext uri="{FF2B5EF4-FFF2-40B4-BE49-F238E27FC236}">
              <a16:creationId xmlns:a16="http://schemas.microsoft.com/office/drawing/2014/main" id="{DBF76B1D-B431-4B55-B50B-B28363ECAED8}"/>
            </a:ext>
          </a:extLst>
        </xdr:cNvPr>
        <xdr:cNvSpPr txBox="1"/>
      </xdr:nvSpPr>
      <xdr:spPr>
        <a:xfrm>
          <a:off x="5894295" y="42831122"/>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4</xdr:col>
      <xdr:colOff>914401</xdr:colOff>
      <xdr:row>141</xdr:row>
      <xdr:rowOff>3796552</xdr:rowOff>
    </xdr:from>
    <xdr:ext cx="1618131" cy="274492"/>
    <xdr:sp macro="" textlink="">
      <xdr:nvSpPr>
        <xdr:cNvPr id="44" name="CuadroTexto 43">
          <a:extLst>
            <a:ext uri="{FF2B5EF4-FFF2-40B4-BE49-F238E27FC236}">
              <a16:creationId xmlns:a16="http://schemas.microsoft.com/office/drawing/2014/main" id="{9650DE69-5C5E-48E7-8860-158A11FCAABF}"/>
            </a:ext>
          </a:extLst>
        </xdr:cNvPr>
        <xdr:cNvSpPr txBox="1"/>
      </xdr:nvSpPr>
      <xdr:spPr>
        <a:xfrm>
          <a:off x="6293225" y="41493140"/>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4</xdr:col>
      <xdr:colOff>898713</xdr:colOff>
      <xdr:row>141</xdr:row>
      <xdr:rowOff>2480982</xdr:rowOff>
    </xdr:from>
    <xdr:ext cx="1618131" cy="274492"/>
    <xdr:sp macro="" textlink="">
      <xdr:nvSpPr>
        <xdr:cNvPr id="45" name="CuadroTexto 44">
          <a:extLst>
            <a:ext uri="{FF2B5EF4-FFF2-40B4-BE49-F238E27FC236}">
              <a16:creationId xmlns:a16="http://schemas.microsoft.com/office/drawing/2014/main" id="{7FFC2196-2DBB-4B47-9939-A072932D7FA2}"/>
            </a:ext>
          </a:extLst>
        </xdr:cNvPr>
        <xdr:cNvSpPr txBox="1"/>
      </xdr:nvSpPr>
      <xdr:spPr>
        <a:xfrm>
          <a:off x="6277537" y="40177570"/>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oneCellAnchor>
    <xdr:from>
      <xdr:col>5</xdr:col>
      <xdr:colOff>76202</xdr:colOff>
      <xdr:row>141</xdr:row>
      <xdr:rowOff>1277470</xdr:rowOff>
    </xdr:from>
    <xdr:ext cx="1618131" cy="274492"/>
    <xdr:sp macro="" textlink="">
      <xdr:nvSpPr>
        <xdr:cNvPr id="46" name="CuadroTexto 45">
          <a:extLst>
            <a:ext uri="{FF2B5EF4-FFF2-40B4-BE49-F238E27FC236}">
              <a16:creationId xmlns:a16="http://schemas.microsoft.com/office/drawing/2014/main" id="{220BD75E-311D-4FFA-94C6-9663491EBDAD}"/>
            </a:ext>
          </a:extLst>
        </xdr:cNvPr>
        <xdr:cNvSpPr txBox="1"/>
      </xdr:nvSpPr>
      <xdr:spPr>
        <a:xfrm>
          <a:off x="6519584" y="3897405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ULTIMO NIVEL</a:t>
          </a:r>
        </a:p>
        <a:p>
          <a:pPr algn="ctr"/>
          <a:endParaRPr lang="es-PA" sz="1100"/>
        </a:p>
        <a:p>
          <a:endParaRPr lang="es-PA" sz="1100"/>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168088</xdr:colOff>
      <xdr:row>128</xdr:row>
      <xdr:rowOff>818030</xdr:rowOff>
    </xdr:from>
    <xdr:to>
      <xdr:col>3</xdr:col>
      <xdr:colOff>823614</xdr:colOff>
      <xdr:row>128</xdr:row>
      <xdr:rowOff>4381502</xdr:rowOff>
    </xdr:to>
    <xdr:pic>
      <xdr:nvPicPr>
        <xdr:cNvPr id="2" name="Imagen 1">
          <a:extLst>
            <a:ext uri="{FF2B5EF4-FFF2-40B4-BE49-F238E27FC236}">
              <a16:creationId xmlns:a16="http://schemas.microsoft.com/office/drawing/2014/main" id="{F018AE6C-3363-45F7-B711-5516E20B70B3}"/>
            </a:ext>
          </a:extLst>
        </xdr:cNvPr>
        <xdr:cNvPicPr>
          <a:picLocks noChangeAspect="1"/>
        </xdr:cNvPicPr>
      </xdr:nvPicPr>
      <xdr:blipFill rotWithShape="1">
        <a:blip xmlns:r="http://schemas.openxmlformats.org/officeDocument/2006/relationships" r:embed="rId1"/>
        <a:srcRect l="2976" t="7939" r="1561" b="759"/>
        <a:stretch/>
      </xdr:blipFill>
      <xdr:spPr>
        <a:xfrm>
          <a:off x="168088" y="38556080"/>
          <a:ext cx="4970351" cy="3563472"/>
        </a:xfrm>
        <a:prstGeom prst="rect">
          <a:avLst/>
        </a:prstGeom>
      </xdr:spPr>
    </xdr:pic>
    <xdr:clientData/>
  </xdr:twoCellAnchor>
  <xdr:twoCellAnchor editAs="oneCell">
    <xdr:from>
      <xdr:col>4</xdr:col>
      <xdr:colOff>246528</xdr:colOff>
      <xdr:row>128</xdr:row>
      <xdr:rowOff>403411</xdr:rowOff>
    </xdr:from>
    <xdr:to>
      <xdr:col>6</xdr:col>
      <xdr:colOff>960672</xdr:colOff>
      <xdr:row>128</xdr:row>
      <xdr:rowOff>1111273</xdr:rowOff>
    </xdr:to>
    <xdr:pic>
      <xdr:nvPicPr>
        <xdr:cNvPr id="3" name="Imagen 2">
          <a:extLst>
            <a:ext uri="{FF2B5EF4-FFF2-40B4-BE49-F238E27FC236}">
              <a16:creationId xmlns:a16="http://schemas.microsoft.com/office/drawing/2014/main" id="{8E497A98-26CB-43AB-98A5-44384F18073A}"/>
            </a:ext>
          </a:extLst>
        </xdr:cNvPr>
        <xdr:cNvPicPr>
          <a:picLocks noChangeAspect="1"/>
        </xdr:cNvPicPr>
      </xdr:nvPicPr>
      <xdr:blipFill>
        <a:blip xmlns:r="http://schemas.openxmlformats.org/officeDocument/2006/relationships" r:embed="rId2"/>
        <a:stretch>
          <a:fillRect/>
        </a:stretch>
      </xdr:blipFill>
      <xdr:spPr>
        <a:xfrm>
          <a:off x="5625352" y="34166735"/>
          <a:ext cx="3403555" cy="707862"/>
        </a:xfrm>
        <a:prstGeom prst="rect">
          <a:avLst/>
        </a:prstGeom>
      </xdr:spPr>
    </xdr:pic>
    <xdr:clientData/>
  </xdr:twoCellAnchor>
  <xdr:twoCellAnchor editAs="oneCell">
    <xdr:from>
      <xdr:col>4</xdr:col>
      <xdr:colOff>-1</xdr:colOff>
      <xdr:row>128</xdr:row>
      <xdr:rowOff>4112558</xdr:rowOff>
    </xdr:from>
    <xdr:to>
      <xdr:col>5</xdr:col>
      <xdr:colOff>766840</xdr:colOff>
      <xdr:row>129</xdr:row>
      <xdr:rowOff>156880</xdr:rowOff>
    </xdr:to>
    <xdr:pic>
      <xdr:nvPicPr>
        <xdr:cNvPr id="4" name="Imagen 3">
          <a:extLst>
            <a:ext uri="{FF2B5EF4-FFF2-40B4-BE49-F238E27FC236}">
              <a16:creationId xmlns:a16="http://schemas.microsoft.com/office/drawing/2014/main" id="{6906668C-0775-45F1-A484-45C99B5AFFC7}"/>
            </a:ext>
          </a:extLst>
        </xdr:cNvPr>
        <xdr:cNvPicPr>
          <a:picLocks noChangeAspect="1"/>
        </xdr:cNvPicPr>
      </xdr:nvPicPr>
      <xdr:blipFill rotWithShape="1">
        <a:blip xmlns:r="http://schemas.openxmlformats.org/officeDocument/2006/relationships" r:embed="rId3"/>
        <a:srcRect l="4422" t="16538" r="736" b="-178"/>
        <a:stretch/>
      </xdr:blipFill>
      <xdr:spPr>
        <a:xfrm>
          <a:off x="5381624" y="41850608"/>
          <a:ext cx="1833641" cy="978272"/>
        </a:xfrm>
        <a:prstGeom prst="rect">
          <a:avLst/>
        </a:prstGeom>
      </xdr:spPr>
    </xdr:pic>
    <xdr:clientData/>
  </xdr:twoCellAnchor>
  <xdr:twoCellAnchor editAs="oneCell">
    <xdr:from>
      <xdr:col>6</xdr:col>
      <xdr:colOff>717177</xdr:colOff>
      <xdr:row>128</xdr:row>
      <xdr:rowOff>1979167</xdr:rowOff>
    </xdr:from>
    <xdr:to>
      <xdr:col>7</xdr:col>
      <xdr:colOff>1703294</xdr:colOff>
      <xdr:row>128</xdr:row>
      <xdr:rowOff>3657444</xdr:rowOff>
    </xdr:to>
    <xdr:pic>
      <xdr:nvPicPr>
        <xdr:cNvPr id="5" name="Imagen 4">
          <a:extLst>
            <a:ext uri="{FF2B5EF4-FFF2-40B4-BE49-F238E27FC236}">
              <a16:creationId xmlns:a16="http://schemas.microsoft.com/office/drawing/2014/main" id="{030369A9-E977-433C-A8CC-7F7E6C961514}"/>
            </a:ext>
          </a:extLst>
        </xdr:cNvPr>
        <xdr:cNvPicPr>
          <a:picLocks noChangeAspect="1"/>
        </xdr:cNvPicPr>
      </xdr:nvPicPr>
      <xdr:blipFill>
        <a:blip xmlns:r="http://schemas.openxmlformats.org/officeDocument/2006/relationships" r:embed="rId4"/>
        <a:stretch>
          <a:fillRect/>
        </a:stretch>
      </xdr:blipFill>
      <xdr:spPr>
        <a:xfrm>
          <a:off x="8784852" y="39717217"/>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78725020-8E1C-405A-ACD2-63CC9585736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158</xdr:row>
      <xdr:rowOff>66260</xdr:rowOff>
    </xdr:from>
    <xdr:to>
      <xdr:col>7</xdr:col>
      <xdr:colOff>1257836</xdr:colOff>
      <xdr:row>158</xdr:row>
      <xdr:rowOff>808463</xdr:rowOff>
    </xdr:to>
    <xdr:pic>
      <xdr:nvPicPr>
        <xdr:cNvPr id="7" name="Imagen 6" descr="Imagen de WhatsApp 2023-03-09 a las 17.44.48">
          <a:extLst>
            <a:ext uri="{FF2B5EF4-FFF2-40B4-BE49-F238E27FC236}">
              <a16:creationId xmlns:a16="http://schemas.microsoft.com/office/drawing/2014/main" id="{F62138EB-4BE2-4078-A905-56C571E8047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5059638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159</xdr:row>
      <xdr:rowOff>47625</xdr:rowOff>
    </xdr:from>
    <xdr:to>
      <xdr:col>7</xdr:col>
      <xdr:colOff>828675</xdr:colOff>
      <xdr:row>159</xdr:row>
      <xdr:rowOff>647700</xdr:rowOff>
    </xdr:to>
    <xdr:pic>
      <xdr:nvPicPr>
        <xdr:cNvPr id="8" name="Imagen 10">
          <a:extLst>
            <a:ext uri="{FF2B5EF4-FFF2-40B4-BE49-F238E27FC236}">
              <a16:creationId xmlns:a16="http://schemas.microsoft.com/office/drawing/2014/main" id="{8310579F-C5AB-4E2A-9F75-9B23C4F091C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5142547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128</xdr:row>
      <xdr:rowOff>424675</xdr:rowOff>
    </xdr:from>
    <xdr:to>
      <xdr:col>33</xdr:col>
      <xdr:colOff>287574</xdr:colOff>
      <xdr:row>128</xdr:row>
      <xdr:rowOff>2893219</xdr:rowOff>
    </xdr:to>
    <xdr:pic>
      <xdr:nvPicPr>
        <xdr:cNvPr id="9" name="Imagen 8">
          <a:extLst>
            <a:ext uri="{FF2B5EF4-FFF2-40B4-BE49-F238E27FC236}">
              <a16:creationId xmlns:a16="http://schemas.microsoft.com/office/drawing/2014/main" id="{9D5F1A4D-C143-4484-B4F7-F8B55813C48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8162725"/>
          <a:ext cx="3692761" cy="2468544"/>
        </a:xfrm>
        <a:prstGeom prst="rect">
          <a:avLst/>
        </a:prstGeom>
      </xdr:spPr>
    </xdr:pic>
    <xdr:clientData/>
  </xdr:twoCellAnchor>
  <xdr:twoCellAnchor editAs="oneCell">
    <xdr:from>
      <xdr:col>25</xdr:col>
      <xdr:colOff>357188</xdr:colOff>
      <xdr:row>128</xdr:row>
      <xdr:rowOff>2428875</xdr:rowOff>
    </xdr:from>
    <xdr:to>
      <xdr:col>27</xdr:col>
      <xdr:colOff>610005</xdr:colOff>
      <xdr:row>128</xdr:row>
      <xdr:rowOff>4485482</xdr:rowOff>
    </xdr:to>
    <xdr:pic>
      <xdr:nvPicPr>
        <xdr:cNvPr id="10" name="Imagen 9">
          <a:extLst>
            <a:ext uri="{FF2B5EF4-FFF2-40B4-BE49-F238E27FC236}">
              <a16:creationId xmlns:a16="http://schemas.microsoft.com/office/drawing/2014/main" id="{C72B62E8-D219-4963-BEE1-CCA412942D0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40166925"/>
          <a:ext cx="1757767" cy="2056607"/>
        </a:xfrm>
        <a:prstGeom prst="rect">
          <a:avLst/>
        </a:prstGeom>
      </xdr:spPr>
    </xdr:pic>
    <xdr:clientData/>
  </xdr:twoCellAnchor>
  <xdr:twoCellAnchor editAs="oneCell">
    <xdr:from>
      <xdr:col>9</xdr:col>
      <xdr:colOff>0</xdr:colOff>
      <xdr:row>128</xdr:row>
      <xdr:rowOff>0</xdr:rowOff>
    </xdr:from>
    <xdr:to>
      <xdr:col>9</xdr:col>
      <xdr:colOff>304800</xdr:colOff>
      <xdr:row>128</xdr:row>
      <xdr:rowOff>304800</xdr:rowOff>
    </xdr:to>
    <xdr:sp macro="" textlink="">
      <xdr:nvSpPr>
        <xdr:cNvPr id="11" name="AutoShape 1">
          <a:extLst>
            <a:ext uri="{FF2B5EF4-FFF2-40B4-BE49-F238E27FC236}">
              <a16:creationId xmlns:a16="http://schemas.microsoft.com/office/drawing/2014/main" id="{0ED1EDD9-11D7-4693-9D47-78BE9D0D9164}"/>
            </a:ext>
          </a:extLst>
        </xdr:cNvPr>
        <xdr:cNvSpPr>
          <a:spLocks noChangeAspect="1" noChangeArrowheads="1"/>
        </xdr:cNvSpPr>
      </xdr:nvSpPr>
      <xdr:spPr bwMode="auto">
        <a:xfrm>
          <a:off x="12496800" y="3773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107</xdr:row>
      <xdr:rowOff>0</xdr:rowOff>
    </xdr:from>
    <xdr:to>
      <xdr:col>9</xdr:col>
      <xdr:colOff>304800</xdr:colOff>
      <xdr:row>107</xdr:row>
      <xdr:rowOff>301625</xdr:rowOff>
    </xdr:to>
    <xdr:sp macro="" textlink="">
      <xdr:nvSpPr>
        <xdr:cNvPr id="12" name="AutoShape 1">
          <a:extLst>
            <a:ext uri="{FF2B5EF4-FFF2-40B4-BE49-F238E27FC236}">
              <a16:creationId xmlns:a16="http://schemas.microsoft.com/office/drawing/2014/main" id="{E937593F-9CB2-4E86-85B5-52FFF10D9FC1}"/>
            </a:ext>
          </a:extLst>
        </xdr:cNvPr>
        <xdr:cNvSpPr>
          <a:spLocks noChangeAspect="1" noChangeArrowheads="1"/>
        </xdr:cNvSpPr>
      </xdr:nvSpPr>
      <xdr:spPr bwMode="auto">
        <a:xfrm>
          <a:off x="1249680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107</xdr:row>
      <xdr:rowOff>0</xdr:rowOff>
    </xdr:from>
    <xdr:to>
      <xdr:col>11</xdr:col>
      <xdr:colOff>304800</xdr:colOff>
      <xdr:row>107</xdr:row>
      <xdr:rowOff>301625</xdr:rowOff>
    </xdr:to>
    <xdr:sp macro="" textlink="">
      <xdr:nvSpPr>
        <xdr:cNvPr id="13" name="AutoShape 2">
          <a:extLst>
            <a:ext uri="{FF2B5EF4-FFF2-40B4-BE49-F238E27FC236}">
              <a16:creationId xmlns:a16="http://schemas.microsoft.com/office/drawing/2014/main" id="{DA927D76-0E98-410E-8F61-77355E8EA914}"/>
            </a:ext>
          </a:extLst>
        </xdr:cNvPr>
        <xdr:cNvSpPr>
          <a:spLocks noChangeAspect="1" noChangeArrowheads="1"/>
        </xdr:cNvSpPr>
      </xdr:nvSpPr>
      <xdr:spPr bwMode="auto">
        <a:xfrm>
          <a:off x="1491615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128</xdr:row>
      <xdr:rowOff>3451412</xdr:rowOff>
    </xdr:from>
    <xdr:to>
      <xdr:col>4</xdr:col>
      <xdr:colOff>493058</xdr:colOff>
      <xdr:row>128</xdr:row>
      <xdr:rowOff>4303059</xdr:rowOff>
    </xdr:to>
    <xdr:cxnSp macro="">
      <xdr:nvCxnSpPr>
        <xdr:cNvPr id="14" name="Conector recto de flecha 13">
          <a:extLst>
            <a:ext uri="{FF2B5EF4-FFF2-40B4-BE49-F238E27FC236}">
              <a16:creationId xmlns:a16="http://schemas.microsoft.com/office/drawing/2014/main" id="{280C0410-CC0E-4F64-AB3D-1B532E55B9CE}"/>
            </a:ext>
          </a:extLst>
        </xdr:cNvPr>
        <xdr:cNvCxnSpPr/>
      </xdr:nvCxnSpPr>
      <xdr:spPr>
        <a:xfrm>
          <a:off x="4707031" y="41189462"/>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128</xdr:row>
      <xdr:rowOff>2577353</xdr:rowOff>
    </xdr:from>
    <xdr:ext cx="773207" cy="448236"/>
    <xdr:sp macro="" textlink="">
      <xdr:nvSpPr>
        <xdr:cNvPr id="15" name="CuadroTexto 14">
          <a:extLst>
            <a:ext uri="{FF2B5EF4-FFF2-40B4-BE49-F238E27FC236}">
              <a16:creationId xmlns:a16="http://schemas.microsoft.com/office/drawing/2014/main" id="{964BC8B1-5B13-4DF9-AECF-9AD01ED9E661}"/>
            </a:ext>
          </a:extLst>
        </xdr:cNvPr>
        <xdr:cNvSpPr txBox="1"/>
      </xdr:nvSpPr>
      <xdr:spPr>
        <a:xfrm>
          <a:off x="8986557" y="40315403"/>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128</xdr:row>
      <xdr:rowOff>4647028</xdr:rowOff>
    </xdr:from>
    <xdr:ext cx="896472" cy="261149"/>
    <xdr:sp macro="" textlink="">
      <xdr:nvSpPr>
        <xdr:cNvPr id="16" name="CuadroTexto 15">
          <a:extLst>
            <a:ext uri="{FF2B5EF4-FFF2-40B4-BE49-F238E27FC236}">
              <a16:creationId xmlns:a16="http://schemas.microsoft.com/office/drawing/2014/main" id="{95CE687D-AEDF-42E6-9F93-DB473A84B051}"/>
            </a:ext>
          </a:extLst>
        </xdr:cNvPr>
        <xdr:cNvSpPr txBox="1"/>
      </xdr:nvSpPr>
      <xdr:spPr>
        <a:xfrm>
          <a:off x="21488958" y="42385078"/>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5</xdr:col>
      <xdr:colOff>912157</xdr:colOff>
      <xdr:row>128</xdr:row>
      <xdr:rowOff>1224854</xdr:rowOff>
    </xdr:from>
    <xdr:ext cx="1650073" cy="243117"/>
    <xdr:sp macro="" textlink="">
      <xdr:nvSpPr>
        <xdr:cNvPr id="17" name="CuadroTexto 16">
          <a:extLst>
            <a:ext uri="{FF2B5EF4-FFF2-40B4-BE49-F238E27FC236}">
              <a16:creationId xmlns:a16="http://schemas.microsoft.com/office/drawing/2014/main" id="{EBBED404-9E79-4D03-A8BF-130FF8D65C58}"/>
            </a:ext>
          </a:extLst>
        </xdr:cNvPr>
        <xdr:cNvSpPr txBox="1"/>
      </xdr:nvSpPr>
      <xdr:spPr>
        <a:xfrm>
          <a:off x="7355539" y="34988178"/>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791700</xdr:colOff>
      <xdr:row>128</xdr:row>
      <xdr:rowOff>436495</xdr:rowOff>
    </xdr:from>
    <xdr:to>
      <xdr:col>5</xdr:col>
      <xdr:colOff>168087</xdr:colOff>
      <xdr:row>128</xdr:row>
      <xdr:rowOff>616324</xdr:rowOff>
    </xdr:to>
    <xdr:cxnSp macro="">
      <xdr:nvCxnSpPr>
        <xdr:cNvPr id="18" name="Conector recto de flecha 17">
          <a:extLst>
            <a:ext uri="{FF2B5EF4-FFF2-40B4-BE49-F238E27FC236}">
              <a16:creationId xmlns:a16="http://schemas.microsoft.com/office/drawing/2014/main" id="{B3B4D2FD-3786-4CC9-AC5D-5E1F848EF763}"/>
            </a:ext>
          </a:extLst>
        </xdr:cNvPr>
        <xdr:cNvCxnSpPr>
          <a:stCxn id="20" idx="3"/>
        </xdr:cNvCxnSpPr>
      </xdr:nvCxnSpPr>
      <xdr:spPr>
        <a:xfrm>
          <a:off x="6170524" y="34199819"/>
          <a:ext cx="440945"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717176</xdr:colOff>
      <xdr:row>128</xdr:row>
      <xdr:rowOff>739588</xdr:rowOff>
    </xdr:from>
    <xdr:to>
      <xdr:col>6</xdr:col>
      <xdr:colOff>78723</xdr:colOff>
      <xdr:row>128</xdr:row>
      <xdr:rowOff>1224854</xdr:rowOff>
    </xdr:to>
    <xdr:cxnSp macro="">
      <xdr:nvCxnSpPr>
        <xdr:cNvPr id="19" name="Conector recto de flecha 18">
          <a:extLst>
            <a:ext uri="{FF2B5EF4-FFF2-40B4-BE49-F238E27FC236}">
              <a16:creationId xmlns:a16="http://schemas.microsoft.com/office/drawing/2014/main" id="{3F51D353-3A4F-43E2-BC19-C775798BDDAC}"/>
            </a:ext>
          </a:extLst>
        </xdr:cNvPr>
        <xdr:cNvCxnSpPr/>
      </xdr:nvCxnSpPr>
      <xdr:spPr>
        <a:xfrm flipH="1" flipV="1">
          <a:off x="7160558" y="34502912"/>
          <a:ext cx="986400"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761998</xdr:colOff>
      <xdr:row>128</xdr:row>
      <xdr:rowOff>189430</xdr:rowOff>
    </xdr:from>
    <xdr:ext cx="1094261" cy="494129"/>
    <xdr:sp macro="" textlink="">
      <xdr:nvSpPr>
        <xdr:cNvPr id="20" name="CuadroTexto 19">
          <a:extLst>
            <a:ext uri="{FF2B5EF4-FFF2-40B4-BE49-F238E27FC236}">
              <a16:creationId xmlns:a16="http://schemas.microsoft.com/office/drawing/2014/main" id="{BE6B84BD-19C1-474B-9896-77C25CCE72FB}"/>
            </a:ext>
          </a:extLst>
        </xdr:cNvPr>
        <xdr:cNvSpPr txBox="1"/>
      </xdr:nvSpPr>
      <xdr:spPr>
        <a:xfrm>
          <a:off x="5076263" y="33952754"/>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128</xdr:row>
      <xdr:rowOff>4639235</xdr:rowOff>
    </xdr:from>
    <xdr:ext cx="2860309" cy="291039"/>
    <xdr:sp macro="" textlink="">
      <xdr:nvSpPr>
        <xdr:cNvPr id="21" name="CuadroTexto 20">
          <a:extLst>
            <a:ext uri="{FF2B5EF4-FFF2-40B4-BE49-F238E27FC236}">
              <a16:creationId xmlns:a16="http://schemas.microsoft.com/office/drawing/2014/main" id="{6BBBD2EA-7B2A-4C5E-AE72-AB6A7A2F0966}"/>
            </a:ext>
          </a:extLst>
        </xdr:cNvPr>
        <xdr:cNvSpPr txBox="1"/>
      </xdr:nvSpPr>
      <xdr:spPr>
        <a:xfrm>
          <a:off x="728382" y="42377285"/>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128</xdr:row>
      <xdr:rowOff>4235824</xdr:rowOff>
    </xdr:from>
    <xdr:to>
      <xdr:col>6</xdr:col>
      <xdr:colOff>723553</xdr:colOff>
      <xdr:row>129</xdr:row>
      <xdr:rowOff>165384</xdr:rowOff>
    </xdr:to>
    <xdr:pic>
      <xdr:nvPicPr>
        <xdr:cNvPr id="22" name="Imagen 21">
          <a:extLst>
            <a:ext uri="{FF2B5EF4-FFF2-40B4-BE49-F238E27FC236}">
              <a16:creationId xmlns:a16="http://schemas.microsoft.com/office/drawing/2014/main" id="{546ABD7C-CE87-4322-A62A-45D744ABBBE9}"/>
            </a:ext>
          </a:extLst>
        </xdr:cNvPr>
        <xdr:cNvPicPr>
          <a:picLocks noChangeAspect="1"/>
        </xdr:cNvPicPr>
      </xdr:nvPicPr>
      <xdr:blipFill rotWithShape="1">
        <a:blip xmlns:r="http://schemas.openxmlformats.org/officeDocument/2006/relationships" r:embed="rId10"/>
        <a:srcRect l="6049" t="8786"/>
        <a:stretch/>
      </xdr:blipFill>
      <xdr:spPr>
        <a:xfrm>
          <a:off x="7623161" y="41973874"/>
          <a:ext cx="1168067" cy="863510"/>
        </a:xfrm>
        <a:prstGeom prst="rect">
          <a:avLst/>
        </a:prstGeom>
      </xdr:spPr>
    </xdr:pic>
    <xdr:clientData/>
  </xdr:twoCellAnchor>
  <xdr:oneCellAnchor>
    <xdr:from>
      <xdr:col>9</xdr:col>
      <xdr:colOff>0</xdr:colOff>
      <xdr:row>114</xdr:row>
      <xdr:rowOff>0</xdr:rowOff>
    </xdr:from>
    <xdr:ext cx="304800" cy="301625"/>
    <xdr:sp macro="" textlink="">
      <xdr:nvSpPr>
        <xdr:cNvPr id="23" name="AutoShape 1">
          <a:extLst>
            <a:ext uri="{FF2B5EF4-FFF2-40B4-BE49-F238E27FC236}">
              <a16:creationId xmlns:a16="http://schemas.microsoft.com/office/drawing/2014/main" id="{A3F0C6E3-9E3C-4C6A-ACB8-D2CBDB9B7C1D}"/>
            </a:ext>
          </a:extLst>
        </xdr:cNvPr>
        <xdr:cNvSpPr>
          <a:spLocks noChangeAspect="1" noChangeArrowheads="1"/>
        </xdr:cNvSpPr>
      </xdr:nvSpPr>
      <xdr:spPr bwMode="auto">
        <a:xfrm>
          <a:off x="1249680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114</xdr:row>
      <xdr:rowOff>0</xdr:rowOff>
    </xdr:from>
    <xdr:ext cx="304800" cy="301625"/>
    <xdr:sp macro="" textlink="">
      <xdr:nvSpPr>
        <xdr:cNvPr id="24" name="AutoShape 2">
          <a:extLst>
            <a:ext uri="{FF2B5EF4-FFF2-40B4-BE49-F238E27FC236}">
              <a16:creationId xmlns:a16="http://schemas.microsoft.com/office/drawing/2014/main" id="{3A3270B3-0309-45C5-BFDF-78DCE8047099}"/>
            </a:ext>
          </a:extLst>
        </xdr:cNvPr>
        <xdr:cNvSpPr>
          <a:spLocks noChangeAspect="1" noChangeArrowheads="1"/>
        </xdr:cNvSpPr>
      </xdr:nvSpPr>
      <xdr:spPr bwMode="auto">
        <a:xfrm>
          <a:off x="1491615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121</xdr:row>
      <xdr:rowOff>0</xdr:rowOff>
    </xdr:from>
    <xdr:ext cx="304800" cy="301625"/>
    <xdr:sp macro="" textlink="">
      <xdr:nvSpPr>
        <xdr:cNvPr id="25" name="AutoShape 1">
          <a:extLst>
            <a:ext uri="{FF2B5EF4-FFF2-40B4-BE49-F238E27FC236}">
              <a16:creationId xmlns:a16="http://schemas.microsoft.com/office/drawing/2014/main" id="{17F8B82B-9078-49BC-B9C9-DAEDFC343AC7}"/>
            </a:ext>
          </a:extLst>
        </xdr:cNvPr>
        <xdr:cNvSpPr>
          <a:spLocks noChangeAspect="1" noChangeArrowheads="1"/>
        </xdr:cNvSpPr>
      </xdr:nvSpPr>
      <xdr:spPr bwMode="auto">
        <a:xfrm>
          <a:off x="1249680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6" name="AutoShape 2">
          <a:extLst>
            <a:ext uri="{FF2B5EF4-FFF2-40B4-BE49-F238E27FC236}">
              <a16:creationId xmlns:a16="http://schemas.microsoft.com/office/drawing/2014/main" id="{80F8C1A9-35A8-489F-A092-6024C684FBE0}"/>
            </a:ext>
          </a:extLst>
        </xdr:cNvPr>
        <xdr:cNvSpPr>
          <a:spLocks noChangeAspect="1" noChangeArrowheads="1"/>
        </xdr:cNvSpPr>
      </xdr:nvSpPr>
      <xdr:spPr bwMode="auto">
        <a:xfrm>
          <a:off x="1491615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125</xdr:row>
      <xdr:rowOff>0</xdr:rowOff>
    </xdr:from>
    <xdr:ext cx="304800" cy="301625"/>
    <xdr:sp macro="" textlink="">
      <xdr:nvSpPr>
        <xdr:cNvPr id="27" name="AutoShape 1">
          <a:extLst>
            <a:ext uri="{FF2B5EF4-FFF2-40B4-BE49-F238E27FC236}">
              <a16:creationId xmlns:a16="http://schemas.microsoft.com/office/drawing/2014/main" id="{00336B9E-04A6-4E80-AB97-96A57DDAF92B}"/>
            </a:ext>
          </a:extLst>
        </xdr:cNvPr>
        <xdr:cNvSpPr>
          <a:spLocks noChangeAspect="1" noChangeArrowheads="1"/>
        </xdr:cNvSpPr>
      </xdr:nvSpPr>
      <xdr:spPr bwMode="auto">
        <a:xfrm>
          <a:off x="1249680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xdr:row>
      <xdr:rowOff>0</xdr:rowOff>
    </xdr:from>
    <xdr:ext cx="304800" cy="301625"/>
    <xdr:sp macro="" textlink="">
      <xdr:nvSpPr>
        <xdr:cNvPr id="28" name="AutoShape 2">
          <a:extLst>
            <a:ext uri="{FF2B5EF4-FFF2-40B4-BE49-F238E27FC236}">
              <a16:creationId xmlns:a16="http://schemas.microsoft.com/office/drawing/2014/main" id="{5CB04ACC-A95C-47F2-8DD8-344D219FFEC5}"/>
            </a:ext>
          </a:extLst>
        </xdr:cNvPr>
        <xdr:cNvSpPr>
          <a:spLocks noChangeAspect="1" noChangeArrowheads="1"/>
        </xdr:cNvSpPr>
      </xdr:nvSpPr>
      <xdr:spPr bwMode="auto">
        <a:xfrm>
          <a:off x="1491615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128</xdr:row>
      <xdr:rowOff>2853017</xdr:rowOff>
    </xdr:from>
    <xdr:to>
      <xdr:col>5</xdr:col>
      <xdr:colOff>762357</xdr:colOff>
      <xdr:row>128</xdr:row>
      <xdr:rowOff>3827927</xdr:rowOff>
    </xdr:to>
    <xdr:pic>
      <xdr:nvPicPr>
        <xdr:cNvPr id="29" name="Imagen 28">
          <a:extLst>
            <a:ext uri="{FF2B5EF4-FFF2-40B4-BE49-F238E27FC236}">
              <a16:creationId xmlns:a16="http://schemas.microsoft.com/office/drawing/2014/main" id="{0DB37019-4085-4E25-821C-8CBF9137F4DB}"/>
            </a:ext>
          </a:extLst>
        </xdr:cNvPr>
        <xdr:cNvPicPr>
          <a:picLocks noChangeAspect="1"/>
        </xdr:cNvPicPr>
      </xdr:nvPicPr>
      <xdr:blipFill rotWithShape="1">
        <a:blip xmlns:r="http://schemas.openxmlformats.org/officeDocument/2006/relationships" r:embed="rId3"/>
        <a:srcRect l="4422" t="16538" r="736" b="-178"/>
        <a:stretch/>
      </xdr:blipFill>
      <xdr:spPr>
        <a:xfrm>
          <a:off x="5374900" y="40591067"/>
          <a:ext cx="1835882" cy="974910"/>
        </a:xfrm>
        <a:prstGeom prst="rect">
          <a:avLst/>
        </a:prstGeom>
      </xdr:spPr>
    </xdr:pic>
    <xdr:clientData/>
  </xdr:twoCellAnchor>
  <xdr:twoCellAnchor editAs="oneCell">
    <xdr:from>
      <xdr:col>5</xdr:col>
      <xdr:colOff>1170253</xdr:colOff>
      <xdr:row>128</xdr:row>
      <xdr:rowOff>2976283</xdr:rowOff>
    </xdr:from>
    <xdr:to>
      <xdr:col>6</xdr:col>
      <xdr:colOff>719070</xdr:colOff>
      <xdr:row>128</xdr:row>
      <xdr:rowOff>3836431</xdr:rowOff>
    </xdr:to>
    <xdr:pic>
      <xdr:nvPicPr>
        <xdr:cNvPr id="30" name="Imagen 29">
          <a:extLst>
            <a:ext uri="{FF2B5EF4-FFF2-40B4-BE49-F238E27FC236}">
              <a16:creationId xmlns:a16="http://schemas.microsoft.com/office/drawing/2014/main" id="{2F3F7792-2C45-4349-A0B7-5A801BDD99C5}"/>
            </a:ext>
          </a:extLst>
        </xdr:cNvPr>
        <xdr:cNvPicPr>
          <a:picLocks noChangeAspect="1"/>
        </xdr:cNvPicPr>
      </xdr:nvPicPr>
      <xdr:blipFill rotWithShape="1">
        <a:blip xmlns:r="http://schemas.openxmlformats.org/officeDocument/2006/relationships" r:embed="rId10"/>
        <a:srcRect l="6049" t="8786"/>
        <a:stretch/>
      </xdr:blipFill>
      <xdr:spPr>
        <a:xfrm>
          <a:off x="7618678" y="40714333"/>
          <a:ext cx="1168067" cy="860148"/>
        </a:xfrm>
        <a:prstGeom prst="rect">
          <a:avLst/>
        </a:prstGeom>
      </xdr:spPr>
    </xdr:pic>
    <xdr:clientData/>
  </xdr:twoCellAnchor>
  <xdr:twoCellAnchor editAs="oneCell">
    <xdr:from>
      <xdr:col>3</xdr:col>
      <xdr:colOff>977152</xdr:colOff>
      <xdr:row>128</xdr:row>
      <xdr:rowOff>1638300</xdr:rowOff>
    </xdr:from>
    <xdr:to>
      <xdr:col>5</xdr:col>
      <xdr:colOff>679434</xdr:colOff>
      <xdr:row>128</xdr:row>
      <xdr:rowOff>2613210</xdr:rowOff>
    </xdr:to>
    <xdr:pic>
      <xdr:nvPicPr>
        <xdr:cNvPr id="31" name="Imagen 30">
          <a:extLst>
            <a:ext uri="{FF2B5EF4-FFF2-40B4-BE49-F238E27FC236}">
              <a16:creationId xmlns:a16="http://schemas.microsoft.com/office/drawing/2014/main" id="{64642A7B-F235-441F-B857-15D719B4D17F}"/>
            </a:ext>
          </a:extLst>
        </xdr:cNvPr>
        <xdr:cNvPicPr>
          <a:picLocks noChangeAspect="1"/>
        </xdr:cNvPicPr>
      </xdr:nvPicPr>
      <xdr:blipFill rotWithShape="1">
        <a:blip xmlns:r="http://schemas.openxmlformats.org/officeDocument/2006/relationships" r:embed="rId3"/>
        <a:srcRect l="4422" t="16538" r="736" b="-178"/>
        <a:stretch/>
      </xdr:blipFill>
      <xdr:spPr>
        <a:xfrm>
          <a:off x="5291977" y="39376350"/>
          <a:ext cx="1835882" cy="974910"/>
        </a:xfrm>
        <a:prstGeom prst="rect">
          <a:avLst/>
        </a:prstGeom>
      </xdr:spPr>
    </xdr:pic>
    <xdr:clientData/>
  </xdr:twoCellAnchor>
  <xdr:twoCellAnchor editAs="oneCell">
    <xdr:from>
      <xdr:col>5</xdr:col>
      <xdr:colOff>1087330</xdr:colOff>
      <xdr:row>128</xdr:row>
      <xdr:rowOff>1761566</xdr:rowOff>
    </xdr:from>
    <xdr:to>
      <xdr:col>6</xdr:col>
      <xdr:colOff>636147</xdr:colOff>
      <xdr:row>128</xdr:row>
      <xdr:rowOff>2621714</xdr:rowOff>
    </xdr:to>
    <xdr:pic>
      <xdr:nvPicPr>
        <xdr:cNvPr id="32" name="Imagen 31">
          <a:extLst>
            <a:ext uri="{FF2B5EF4-FFF2-40B4-BE49-F238E27FC236}">
              <a16:creationId xmlns:a16="http://schemas.microsoft.com/office/drawing/2014/main" id="{63AAE410-847E-48E0-BEBB-7EE777480D9F}"/>
            </a:ext>
          </a:extLst>
        </xdr:cNvPr>
        <xdr:cNvPicPr>
          <a:picLocks noChangeAspect="1"/>
        </xdr:cNvPicPr>
      </xdr:nvPicPr>
      <xdr:blipFill rotWithShape="1">
        <a:blip xmlns:r="http://schemas.openxmlformats.org/officeDocument/2006/relationships" r:embed="rId10"/>
        <a:srcRect l="6049" t="8786"/>
        <a:stretch/>
      </xdr:blipFill>
      <xdr:spPr>
        <a:xfrm>
          <a:off x="7535755" y="39499616"/>
          <a:ext cx="1168067" cy="860148"/>
        </a:xfrm>
        <a:prstGeom prst="rect">
          <a:avLst/>
        </a:prstGeom>
      </xdr:spPr>
    </xdr:pic>
    <xdr:clientData/>
  </xdr:twoCellAnchor>
  <xdr:twoCellAnchor>
    <xdr:from>
      <xdr:col>5</xdr:col>
      <xdr:colOff>728383</xdr:colOff>
      <xdr:row>128</xdr:row>
      <xdr:rowOff>1860176</xdr:rowOff>
    </xdr:from>
    <xdr:to>
      <xdr:col>5</xdr:col>
      <xdr:colOff>1243854</xdr:colOff>
      <xdr:row>128</xdr:row>
      <xdr:rowOff>2259105</xdr:rowOff>
    </xdr:to>
    <xdr:sp macro="" textlink="">
      <xdr:nvSpPr>
        <xdr:cNvPr id="34" name="Signo más 33">
          <a:extLst>
            <a:ext uri="{FF2B5EF4-FFF2-40B4-BE49-F238E27FC236}">
              <a16:creationId xmlns:a16="http://schemas.microsoft.com/office/drawing/2014/main" id="{F5FBA483-74AA-4F13-8A18-A919031ADF07}"/>
            </a:ext>
          </a:extLst>
        </xdr:cNvPr>
        <xdr:cNvSpPr/>
      </xdr:nvSpPr>
      <xdr:spPr>
        <a:xfrm>
          <a:off x="7176808" y="39598226"/>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128</xdr:row>
      <xdr:rowOff>3133164</xdr:rowOff>
    </xdr:from>
    <xdr:to>
      <xdr:col>5</xdr:col>
      <xdr:colOff>1284195</xdr:colOff>
      <xdr:row>128</xdr:row>
      <xdr:rowOff>3532093</xdr:rowOff>
    </xdr:to>
    <xdr:sp macro="" textlink="">
      <xdr:nvSpPr>
        <xdr:cNvPr id="35" name="Signo más 34">
          <a:extLst>
            <a:ext uri="{FF2B5EF4-FFF2-40B4-BE49-F238E27FC236}">
              <a16:creationId xmlns:a16="http://schemas.microsoft.com/office/drawing/2014/main" id="{428A788A-91E0-4DED-99C8-7FD6C369E8F0}"/>
            </a:ext>
          </a:extLst>
        </xdr:cNvPr>
        <xdr:cNvSpPr/>
      </xdr:nvSpPr>
      <xdr:spPr>
        <a:xfrm>
          <a:off x="7217149" y="40871214"/>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128</xdr:row>
      <xdr:rowOff>4406152</xdr:rowOff>
    </xdr:from>
    <xdr:to>
      <xdr:col>5</xdr:col>
      <xdr:colOff>1313331</xdr:colOff>
      <xdr:row>128</xdr:row>
      <xdr:rowOff>4805081</xdr:rowOff>
    </xdr:to>
    <xdr:sp macro="" textlink="">
      <xdr:nvSpPr>
        <xdr:cNvPr id="36" name="Signo más 35">
          <a:extLst>
            <a:ext uri="{FF2B5EF4-FFF2-40B4-BE49-F238E27FC236}">
              <a16:creationId xmlns:a16="http://schemas.microsoft.com/office/drawing/2014/main" id="{2D7F3D6C-4E1F-4C94-ACF1-EC03C1C96787}"/>
            </a:ext>
          </a:extLst>
        </xdr:cNvPr>
        <xdr:cNvSpPr/>
      </xdr:nvSpPr>
      <xdr:spPr>
        <a:xfrm>
          <a:off x="7246285" y="42144202"/>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8" name="Conector recto de flecha 37">
          <a:extLst>
            <a:ext uri="{FF2B5EF4-FFF2-40B4-BE49-F238E27FC236}">
              <a16:creationId xmlns:a16="http://schemas.microsoft.com/office/drawing/2014/main" id="{8A36646F-6E06-462F-BBB3-A2466F1829EE}"/>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128</xdr:row>
      <xdr:rowOff>2734236</xdr:rowOff>
    </xdr:from>
    <xdr:to>
      <xdr:col>4</xdr:col>
      <xdr:colOff>549088</xdr:colOff>
      <xdr:row>128</xdr:row>
      <xdr:rowOff>3104030</xdr:rowOff>
    </xdr:to>
    <xdr:cxnSp macro="">
      <xdr:nvCxnSpPr>
        <xdr:cNvPr id="39" name="Conector recto de flecha 38">
          <a:extLst>
            <a:ext uri="{FF2B5EF4-FFF2-40B4-BE49-F238E27FC236}">
              <a16:creationId xmlns:a16="http://schemas.microsoft.com/office/drawing/2014/main" id="{D1704CCB-6862-48EF-A792-8C4FF71104A8}"/>
            </a:ext>
          </a:extLst>
        </xdr:cNvPr>
        <xdr:cNvCxnSpPr/>
      </xdr:nvCxnSpPr>
      <xdr:spPr>
        <a:xfrm>
          <a:off x="4975972" y="40472286"/>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128</xdr:row>
      <xdr:rowOff>2125755</xdr:rowOff>
    </xdr:from>
    <xdr:to>
      <xdr:col>3</xdr:col>
      <xdr:colOff>977152</xdr:colOff>
      <xdr:row>128</xdr:row>
      <xdr:rowOff>2203077</xdr:rowOff>
    </xdr:to>
    <xdr:cxnSp macro="">
      <xdr:nvCxnSpPr>
        <xdr:cNvPr id="40" name="Conector recto de flecha 39">
          <a:extLst>
            <a:ext uri="{FF2B5EF4-FFF2-40B4-BE49-F238E27FC236}">
              <a16:creationId xmlns:a16="http://schemas.microsoft.com/office/drawing/2014/main" id="{51011675-7662-462D-BFB8-F9F87B97EB73}"/>
            </a:ext>
          </a:extLst>
        </xdr:cNvPr>
        <xdr:cNvCxnSpPr>
          <a:endCxn id="31" idx="1"/>
        </xdr:cNvCxnSpPr>
      </xdr:nvCxnSpPr>
      <xdr:spPr>
        <a:xfrm flipV="1">
          <a:off x="4881843" y="39863805"/>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128</xdr:row>
      <xdr:rowOff>1199030</xdr:rowOff>
    </xdr:from>
    <xdr:to>
      <xdr:col>3</xdr:col>
      <xdr:colOff>818029</xdr:colOff>
      <xdr:row>128</xdr:row>
      <xdr:rowOff>1414183</xdr:rowOff>
    </xdr:to>
    <xdr:cxnSp macro="">
      <xdr:nvCxnSpPr>
        <xdr:cNvPr id="41" name="Conector recto de flecha 40">
          <a:extLst>
            <a:ext uri="{FF2B5EF4-FFF2-40B4-BE49-F238E27FC236}">
              <a16:creationId xmlns:a16="http://schemas.microsoft.com/office/drawing/2014/main" id="{D5F288B3-9A28-4FBB-BE53-63662A024B7A}"/>
            </a:ext>
          </a:extLst>
        </xdr:cNvPr>
        <xdr:cNvCxnSpPr/>
      </xdr:nvCxnSpPr>
      <xdr:spPr>
        <a:xfrm flipV="1">
          <a:off x="4586007" y="38937080"/>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605116</xdr:colOff>
      <xdr:row>0</xdr:row>
      <xdr:rowOff>93682</xdr:rowOff>
    </xdr:from>
    <xdr:to>
      <xdr:col>7</xdr:col>
      <xdr:colOff>997324</xdr:colOff>
      <xdr:row>0</xdr:row>
      <xdr:rowOff>1503151</xdr:rowOff>
    </xdr:to>
    <xdr:pic>
      <xdr:nvPicPr>
        <xdr:cNvPr id="42" name="Imagen 41">
          <a:extLst>
            <a:ext uri="{FF2B5EF4-FFF2-40B4-BE49-F238E27FC236}">
              <a16:creationId xmlns:a16="http://schemas.microsoft.com/office/drawing/2014/main" id="{3B018822-A822-48C0-9B1B-77E4216D388F}"/>
            </a:ext>
          </a:extLst>
        </xdr:cNvPr>
        <xdr:cNvPicPr>
          <a:picLocks noChangeAspect="1"/>
        </xdr:cNvPicPr>
      </xdr:nvPicPr>
      <xdr:blipFill rotWithShape="1">
        <a:blip xmlns:r="http://schemas.openxmlformats.org/officeDocument/2006/relationships" r:embed="rId11"/>
        <a:srcRect t="4420" r="5369"/>
        <a:stretch/>
      </xdr:blipFill>
      <xdr:spPr>
        <a:xfrm>
          <a:off x="8672791" y="93682"/>
          <a:ext cx="1840008" cy="1409469"/>
        </a:xfrm>
        <a:prstGeom prst="rect">
          <a:avLst/>
        </a:prstGeom>
      </xdr:spPr>
    </xdr:pic>
    <xdr:clientData/>
  </xdr:twoCellAnchor>
  <xdr:oneCellAnchor>
    <xdr:from>
      <xdr:col>3</xdr:col>
      <xdr:colOff>907673</xdr:colOff>
      <xdr:row>128</xdr:row>
      <xdr:rowOff>1231579</xdr:rowOff>
    </xdr:from>
    <xdr:ext cx="1972238" cy="303626"/>
    <xdr:sp macro="" textlink="">
      <xdr:nvSpPr>
        <xdr:cNvPr id="45" name="CuadroTexto 44">
          <a:extLst>
            <a:ext uri="{FF2B5EF4-FFF2-40B4-BE49-F238E27FC236}">
              <a16:creationId xmlns:a16="http://schemas.microsoft.com/office/drawing/2014/main" id="{8A81BBDE-4977-4153-B1B3-8A909D273E6F}"/>
            </a:ext>
          </a:extLst>
        </xdr:cNvPr>
        <xdr:cNvSpPr txBox="1"/>
      </xdr:nvSpPr>
      <xdr:spPr>
        <a:xfrm>
          <a:off x="5221938" y="34994903"/>
          <a:ext cx="1972238" cy="30362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1">
              <a:effectLst/>
            </a:rPr>
            <a:t>ADICIONALES ULTIMO NIVEL</a:t>
          </a:r>
        </a:p>
        <a:p>
          <a:pPr algn="ctr"/>
          <a:endParaRPr lang="es-PA" sz="1100"/>
        </a:p>
        <a:p>
          <a:endParaRPr lang="es-PA" sz="1100"/>
        </a:p>
      </xdr:txBody>
    </xdr:sp>
    <xdr:clientData/>
  </xdr:oneCellAnchor>
  <xdr:oneCellAnchor>
    <xdr:from>
      <xdr:col>4</xdr:col>
      <xdr:colOff>694762</xdr:colOff>
      <xdr:row>129</xdr:row>
      <xdr:rowOff>180467</xdr:rowOff>
    </xdr:from>
    <xdr:ext cx="1445561" cy="258805"/>
    <xdr:sp macro="" textlink="">
      <xdr:nvSpPr>
        <xdr:cNvPr id="46" name="CuadroTexto 45">
          <a:extLst>
            <a:ext uri="{FF2B5EF4-FFF2-40B4-BE49-F238E27FC236}">
              <a16:creationId xmlns:a16="http://schemas.microsoft.com/office/drawing/2014/main" id="{6F6E5F2E-0CED-4BB9-B1F7-0BD3A66216C9}"/>
            </a:ext>
          </a:extLst>
        </xdr:cNvPr>
        <xdr:cNvSpPr txBox="1"/>
      </xdr:nvSpPr>
      <xdr:spPr>
        <a:xfrm>
          <a:off x="6073586" y="38874379"/>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5</xdr:col>
      <xdr:colOff>29134</xdr:colOff>
      <xdr:row>128</xdr:row>
      <xdr:rowOff>3773073</xdr:rowOff>
    </xdr:from>
    <xdr:ext cx="1618131" cy="274492"/>
    <xdr:sp macro="" textlink="">
      <xdr:nvSpPr>
        <xdr:cNvPr id="47" name="CuadroTexto 46">
          <a:extLst>
            <a:ext uri="{FF2B5EF4-FFF2-40B4-BE49-F238E27FC236}">
              <a16:creationId xmlns:a16="http://schemas.microsoft.com/office/drawing/2014/main" id="{6C1218F7-6EC7-4C75-9E63-1C1817136895}"/>
            </a:ext>
          </a:extLst>
        </xdr:cNvPr>
        <xdr:cNvSpPr txBox="1"/>
      </xdr:nvSpPr>
      <xdr:spPr>
        <a:xfrm>
          <a:off x="6472516" y="37536397"/>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5</xdr:col>
      <xdr:colOff>13446</xdr:colOff>
      <xdr:row>128</xdr:row>
      <xdr:rowOff>2457503</xdr:rowOff>
    </xdr:from>
    <xdr:ext cx="1618131" cy="274492"/>
    <xdr:sp macro="" textlink="">
      <xdr:nvSpPr>
        <xdr:cNvPr id="48" name="CuadroTexto 47">
          <a:extLst>
            <a:ext uri="{FF2B5EF4-FFF2-40B4-BE49-F238E27FC236}">
              <a16:creationId xmlns:a16="http://schemas.microsoft.com/office/drawing/2014/main" id="{9507FD32-75F0-40F5-A5AA-5504A43C6C5F}"/>
            </a:ext>
          </a:extLst>
        </xdr:cNvPr>
        <xdr:cNvSpPr txBox="1"/>
      </xdr:nvSpPr>
      <xdr:spPr>
        <a:xfrm>
          <a:off x="6456828" y="36220827"/>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168088</xdr:colOff>
      <xdr:row>128</xdr:row>
      <xdr:rowOff>818030</xdr:rowOff>
    </xdr:from>
    <xdr:to>
      <xdr:col>3</xdr:col>
      <xdr:colOff>823614</xdr:colOff>
      <xdr:row>128</xdr:row>
      <xdr:rowOff>4381502</xdr:rowOff>
    </xdr:to>
    <xdr:pic>
      <xdr:nvPicPr>
        <xdr:cNvPr id="2" name="Imagen 1">
          <a:extLst>
            <a:ext uri="{FF2B5EF4-FFF2-40B4-BE49-F238E27FC236}">
              <a16:creationId xmlns:a16="http://schemas.microsoft.com/office/drawing/2014/main" id="{43B56602-145F-4850-BDBB-D93429122726}"/>
            </a:ext>
          </a:extLst>
        </xdr:cNvPr>
        <xdr:cNvPicPr>
          <a:picLocks noChangeAspect="1"/>
        </xdr:cNvPicPr>
      </xdr:nvPicPr>
      <xdr:blipFill rotWithShape="1">
        <a:blip xmlns:r="http://schemas.openxmlformats.org/officeDocument/2006/relationships" r:embed="rId1"/>
        <a:srcRect l="2976" t="7939" r="1561" b="759"/>
        <a:stretch/>
      </xdr:blipFill>
      <xdr:spPr>
        <a:xfrm>
          <a:off x="168088" y="34622255"/>
          <a:ext cx="4970351" cy="3563472"/>
        </a:xfrm>
        <a:prstGeom prst="rect">
          <a:avLst/>
        </a:prstGeom>
      </xdr:spPr>
    </xdr:pic>
    <xdr:clientData/>
  </xdr:twoCellAnchor>
  <xdr:twoCellAnchor editAs="oneCell">
    <xdr:from>
      <xdr:col>4</xdr:col>
      <xdr:colOff>246528</xdr:colOff>
      <xdr:row>128</xdr:row>
      <xdr:rowOff>403411</xdr:rowOff>
    </xdr:from>
    <xdr:to>
      <xdr:col>6</xdr:col>
      <xdr:colOff>960672</xdr:colOff>
      <xdr:row>128</xdr:row>
      <xdr:rowOff>1111273</xdr:rowOff>
    </xdr:to>
    <xdr:pic>
      <xdr:nvPicPr>
        <xdr:cNvPr id="3" name="Imagen 2">
          <a:extLst>
            <a:ext uri="{FF2B5EF4-FFF2-40B4-BE49-F238E27FC236}">
              <a16:creationId xmlns:a16="http://schemas.microsoft.com/office/drawing/2014/main" id="{7156F634-F202-4BBA-BE3A-BE2F5D88BA6B}"/>
            </a:ext>
          </a:extLst>
        </xdr:cNvPr>
        <xdr:cNvPicPr>
          <a:picLocks noChangeAspect="1"/>
        </xdr:cNvPicPr>
      </xdr:nvPicPr>
      <xdr:blipFill>
        <a:blip xmlns:r="http://schemas.openxmlformats.org/officeDocument/2006/relationships" r:embed="rId2"/>
        <a:stretch>
          <a:fillRect/>
        </a:stretch>
      </xdr:blipFill>
      <xdr:spPr>
        <a:xfrm>
          <a:off x="5628153" y="34207636"/>
          <a:ext cx="3400194" cy="707862"/>
        </a:xfrm>
        <a:prstGeom prst="rect">
          <a:avLst/>
        </a:prstGeom>
      </xdr:spPr>
    </xdr:pic>
    <xdr:clientData/>
  </xdr:twoCellAnchor>
  <xdr:twoCellAnchor editAs="oneCell">
    <xdr:from>
      <xdr:col>4</xdr:col>
      <xdr:colOff>-1</xdr:colOff>
      <xdr:row>128</xdr:row>
      <xdr:rowOff>4112558</xdr:rowOff>
    </xdr:from>
    <xdr:to>
      <xdr:col>5</xdr:col>
      <xdr:colOff>766840</xdr:colOff>
      <xdr:row>129</xdr:row>
      <xdr:rowOff>156880</xdr:rowOff>
    </xdr:to>
    <xdr:pic>
      <xdr:nvPicPr>
        <xdr:cNvPr id="4" name="Imagen 3">
          <a:extLst>
            <a:ext uri="{FF2B5EF4-FFF2-40B4-BE49-F238E27FC236}">
              <a16:creationId xmlns:a16="http://schemas.microsoft.com/office/drawing/2014/main" id="{87D04B6D-DF29-4CB9-BCFF-9CAE7177A893}"/>
            </a:ext>
          </a:extLst>
        </xdr:cNvPr>
        <xdr:cNvPicPr>
          <a:picLocks noChangeAspect="1"/>
        </xdr:cNvPicPr>
      </xdr:nvPicPr>
      <xdr:blipFill rotWithShape="1">
        <a:blip xmlns:r="http://schemas.openxmlformats.org/officeDocument/2006/relationships" r:embed="rId3"/>
        <a:srcRect l="4422" t="16538" r="736" b="-178"/>
        <a:stretch/>
      </xdr:blipFill>
      <xdr:spPr>
        <a:xfrm>
          <a:off x="5381624" y="37916783"/>
          <a:ext cx="1833641" cy="978272"/>
        </a:xfrm>
        <a:prstGeom prst="rect">
          <a:avLst/>
        </a:prstGeom>
      </xdr:spPr>
    </xdr:pic>
    <xdr:clientData/>
  </xdr:twoCellAnchor>
  <xdr:twoCellAnchor editAs="oneCell">
    <xdr:from>
      <xdr:col>6</xdr:col>
      <xdr:colOff>717177</xdr:colOff>
      <xdr:row>128</xdr:row>
      <xdr:rowOff>1979167</xdr:rowOff>
    </xdr:from>
    <xdr:to>
      <xdr:col>7</xdr:col>
      <xdr:colOff>1703294</xdr:colOff>
      <xdr:row>128</xdr:row>
      <xdr:rowOff>3657444</xdr:rowOff>
    </xdr:to>
    <xdr:pic>
      <xdr:nvPicPr>
        <xdr:cNvPr id="5" name="Imagen 4">
          <a:extLst>
            <a:ext uri="{FF2B5EF4-FFF2-40B4-BE49-F238E27FC236}">
              <a16:creationId xmlns:a16="http://schemas.microsoft.com/office/drawing/2014/main" id="{EAE1FC05-ACB8-42CB-BC74-D0C93ACBA2C3}"/>
            </a:ext>
          </a:extLst>
        </xdr:cNvPr>
        <xdr:cNvPicPr>
          <a:picLocks noChangeAspect="1"/>
        </xdr:cNvPicPr>
      </xdr:nvPicPr>
      <xdr:blipFill>
        <a:blip xmlns:r="http://schemas.openxmlformats.org/officeDocument/2006/relationships" r:embed="rId4"/>
        <a:stretch>
          <a:fillRect/>
        </a:stretch>
      </xdr:blipFill>
      <xdr:spPr>
        <a:xfrm>
          <a:off x="8784852" y="35783392"/>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A13D23B4-59D1-44DE-9855-3F1D9564037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158</xdr:row>
      <xdr:rowOff>66260</xdr:rowOff>
    </xdr:from>
    <xdr:to>
      <xdr:col>7</xdr:col>
      <xdr:colOff>1257836</xdr:colOff>
      <xdr:row>158</xdr:row>
      <xdr:rowOff>808463</xdr:rowOff>
    </xdr:to>
    <xdr:pic>
      <xdr:nvPicPr>
        <xdr:cNvPr id="7" name="Imagen 6" descr="Imagen de WhatsApp 2023-03-09 a las 17.44.48">
          <a:extLst>
            <a:ext uri="{FF2B5EF4-FFF2-40B4-BE49-F238E27FC236}">
              <a16:creationId xmlns:a16="http://schemas.microsoft.com/office/drawing/2014/main" id="{54039E6E-520A-440D-8A30-BF3A30C393F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4728168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159</xdr:row>
      <xdr:rowOff>47625</xdr:rowOff>
    </xdr:from>
    <xdr:to>
      <xdr:col>7</xdr:col>
      <xdr:colOff>828675</xdr:colOff>
      <xdr:row>159</xdr:row>
      <xdr:rowOff>647700</xdr:rowOff>
    </xdr:to>
    <xdr:pic>
      <xdr:nvPicPr>
        <xdr:cNvPr id="8" name="Imagen 10">
          <a:extLst>
            <a:ext uri="{FF2B5EF4-FFF2-40B4-BE49-F238E27FC236}">
              <a16:creationId xmlns:a16="http://schemas.microsoft.com/office/drawing/2014/main" id="{3E6FE004-0789-43EB-BFBA-5EA6978228B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4811077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128</xdr:row>
      <xdr:rowOff>424675</xdr:rowOff>
    </xdr:from>
    <xdr:to>
      <xdr:col>33</xdr:col>
      <xdr:colOff>287574</xdr:colOff>
      <xdr:row>128</xdr:row>
      <xdr:rowOff>2893219</xdr:rowOff>
    </xdr:to>
    <xdr:pic>
      <xdr:nvPicPr>
        <xdr:cNvPr id="9" name="Imagen 8">
          <a:extLst>
            <a:ext uri="{FF2B5EF4-FFF2-40B4-BE49-F238E27FC236}">
              <a16:creationId xmlns:a16="http://schemas.microsoft.com/office/drawing/2014/main" id="{5A2BAAE0-58CC-451A-A6FC-414D290B9BC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4228900"/>
          <a:ext cx="3692761" cy="2468544"/>
        </a:xfrm>
        <a:prstGeom prst="rect">
          <a:avLst/>
        </a:prstGeom>
      </xdr:spPr>
    </xdr:pic>
    <xdr:clientData/>
  </xdr:twoCellAnchor>
  <xdr:twoCellAnchor editAs="oneCell">
    <xdr:from>
      <xdr:col>25</xdr:col>
      <xdr:colOff>357188</xdr:colOff>
      <xdr:row>128</xdr:row>
      <xdr:rowOff>2428875</xdr:rowOff>
    </xdr:from>
    <xdr:to>
      <xdr:col>27</xdr:col>
      <xdr:colOff>610005</xdr:colOff>
      <xdr:row>128</xdr:row>
      <xdr:rowOff>4485482</xdr:rowOff>
    </xdr:to>
    <xdr:pic>
      <xdr:nvPicPr>
        <xdr:cNvPr id="10" name="Imagen 9">
          <a:extLst>
            <a:ext uri="{FF2B5EF4-FFF2-40B4-BE49-F238E27FC236}">
              <a16:creationId xmlns:a16="http://schemas.microsoft.com/office/drawing/2014/main" id="{93CE5262-3E32-4CC6-ADE5-83FCB1A3A6A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36233100"/>
          <a:ext cx="1757767" cy="2056607"/>
        </a:xfrm>
        <a:prstGeom prst="rect">
          <a:avLst/>
        </a:prstGeom>
      </xdr:spPr>
    </xdr:pic>
    <xdr:clientData/>
  </xdr:twoCellAnchor>
  <xdr:twoCellAnchor editAs="oneCell">
    <xdr:from>
      <xdr:col>9</xdr:col>
      <xdr:colOff>0</xdr:colOff>
      <xdr:row>128</xdr:row>
      <xdr:rowOff>0</xdr:rowOff>
    </xdr:from>
    <xdr:to>
      <xdr:col>9</xdr:col>
      <xdr:colOff>304800</xdr:colOff>
      <xdr:row>128</xdr:row>
      <xdr:rowOff>304800</xdr:rowOff>
    </xdr:to>
    <xdr:sp macro="" textlink="">
      <xdr:nvSpPr>
        <xdr:cNvPr id="11" name="AutoShape 1">
          <a:extLst>
            <a:ext uri="{FF2B5EF4-FFF2-40B4-BE49-F238E27FC236}">
              <a16:creationId xmlns:a16="http://schemas.microsoft.com/office/drawing/2014/main" id="{CED00300-F03F-4318-B187-04C7E1B1D09A}"/>
            </a:ext>
          </a:extLst>
        </xdr:cNvPr>
        <xdr:cNvSpPr>
          <a:spLocks noChangeAspect="1" noChangeArrowheads="1"/>
        </xdr:cNvSpPr>
      </xdr:nvSpPr>
      <xdr:spPr bwMode="auto">
        <a:xfrm>
          <a:off x="12496800" y="338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107</xdr:row>
      <xdr:rowOff>0</xdr:rowOff>
    </xdr:from>
    <xdr:to>
      <xdr:col>9</xdr:col>
      <xdr:colOff>304800</xdr:colOff>
      <xdr:row>107</xdr:row>
      <xdr:rowOff>301625</xdr:rowOff>
    </xdr:to>
    <xdr:sp macro="" textlink="">
      <xdr:nvSpPr>
        <xdr:cNvPr id="12" name="AutoShape 1">
          <a:extLst>
            <a:ext uri="{FF2B5EF4-FFF2-40B4-BE49-F238E27FC236}">
              <a16:creationId xmlns:a16="http://schemas.microsoft.com/office/drawing/2014/main" id="{0DF64C3A-A4AE-4427-BBAF-ED961CE27731}"/>
            </a:ext>
          </a:extLst>
        </xdr:cNvPr>
        <xdr:cNvSpPr>
          <a:spLocks noChangeAspect="1" noChangeArrowheads="1"/>
        </xdr:cNvSpPr>
      </xdr:nvSpPr>
      <xdr:spPr bwMode="auto">
        <a:xfrm>
          <a:off x="12496800" y="26831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107</xdr:row>
      <xdr:rowOff>0</xdr:rowOff>
    </xdr:from>
    <xdr:to>
      <xdr:col>11</xdr:col>
      <xdr:colOff>304800</xdr:colOff>
      <xdr:row>107</xdr:row>
      <xdr:rowOff>301625</xdr:rowOff>
    </xdr:to>
    <xdr:sp macro="" textlink="">
      <xdr:nvSpPr>
        <xdr:cNvPr id="13" name="AutoShape 2">
          <a:extLst>
            <a:ext uri="{FF2B5EF4-FFF2-40B4-BE49-F238E27FC236}">
              <a16:creationId xmlns:a16="http://schemas.microsoft.com/office/drawing/2014/main" id="{652681EF-208D-48BA-9697-D74612608F1C}"/>
            </a:ext>
          </a:extLst>
        </xdr:cNvPr>
        <xdr:cNvSpPr>
          <a:spLocks noChangeAspect="1" noChangeArrowheads="1"/>
        </xdr:cNvSpPr>
      </xdr:nvSpPr>
      <xdr:spPr bwMode="auto">
        <a:xfrm>
          <a:off x="14916150" y="26831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128</xdr:row>
      <xdr:rowOff>3451412</xdr:rowOff>
    </xdr:from>
    <xdr:to>
      <xdr:col>4</xdr:col>
      <xdr:colOff>493058</xdr:colOff>
      <xdr:row>128</xdr:row>
      <xdr:rowOff>4303059</xdr:rowOff>
    </xdr:to>
    <xdr:cxnSp macro="">
      <xdr:nvCxnSpPr>
        <xdr:cNvPr id="14" name="Conector recto de flecha 13">
          <a:extLst>
            <a:ext uri="{FF2B5EF4-FFF2-40B4-BE49-F238E27FC236}">
              <a16:creationId xmlns:a16="http://schemas.microsoft.com/office/drawing/2014/main" id="{38352213-049A-46A4-97E6-E0A3FD4CE272}"/>
            </a:ext>
          </a:extLst>
        </xdr:cNvPr>
        <xdr:cNvCxnSpPr/>
      </xdr:nvCxnSpPr>
      <xdr:spPr>
        <a:xfrm>
          <a:off x="4707031" y="37255637"/>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128</xdr:row>
      <xdr:rowOff>2577353</xdr:rowOff>
    </xdr:from>
    <xdr:ext cx="773207" cy="448236"/>
    <xdr:sp macro="" textlink="">
      <xdr:nvSpPr>
        <xdr:cNvPr id="15" name="CuadroTexto 14">
          <a:extLst>
            <a:ext uri="{FF2B5EF4-FFF2-40B4-BE49-F238E27FC236}">
              <a16:creationId xmlns:a16="http://schemas.microsoft.com/office/drawing/2014/main" id="{E2785BE3-D50F-474F-B8D0-A306E08B5C2E}"/>
            </a:ext>
          </a:extLst>
        </xdr:cNvPr>
        <xdr:cNvSpPr txBox="1"/>
      </xdr:nvSpPr>
      <xdr:spPr>
        <a:xfrm>
          <a:off x="8986557" y="36381578"/>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128</xdr:row>
      <xdr:rowOff>4647028</xdr:rowOff>
    </xdr:from>
    <xdr:ext cx="896472" cy="261149"/>
    <xdr:sp macro="" textlink="">
      <xdr:nvSpPr>
        <xdr:cNvPr id="16" name="CuadroTexto 15">
          <a:extLst>
            <a:ext uri="{FF2B5EF4-FFF2-40B4-BE49-F238E27FC236}">
              <a16:creationId xmlns:a16="http://schemas.microsoft.com/office/drawing/2014/main" id="{386AC1D2-AAD8-416A-982F-99FFA0A9CFEE}"/>
            </a:ext>
          </a:extLst>
        </xdr:cNvPr>
        <xdr:cNvSpPr txBox="1"/>
      </xdr:nvSpPr>
      <xdr:spPr>
        <a:xfrm>
          <a:off x="21488958" y="38451253"/>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5</xdr:col>
      <xdr:colOff>912157</xdr:colOff>
      <xdr:row>128</xdr:row>
      <xdr:rowOff>1224854</xdr:rowOff>
    </xdr:from>
    <xdr:ext cx="1650073" cy="243117"/>
    <xdr:sp macro="" textlink="">
      <xdr:nvSpPr>
        <xdr:cNvPr id="17" name="CuadroTexto 16">
          <a:extLst>
            <a:ext uri="{FF2B5EF4-FFF2-40B4-BE49-F238E27FC236}">
              <a16:creationId xmlns:a16="http://schemas.microsoft.com/office/drawing/2014/main" id="{5C53E7C7-C367-47D5-81F4-46390019F3D5}"/>
            </a:ext>
          </a:extLst>
        </xdr:cNvPr>
        <xdr:cNvSpPr txBox="1"/>
      </xdr:nvSpPr>
      <xdr:spPr>
        <a:xfrm>
          <a:off x="7360582" y="35029079"/>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791700</xdr:colOff>
      <xdr:row>128</xdr:row>
      <xdr:rowOff>436495</xdr:rowOff>
    </xdr:from>
    <xdr:to>
      <xdr:col>5</xdr:col>
      <xdr:colOff>168087</xdr:colOff>
      <xdr:row>128</xdr:row>
      <xdr:rowOff>616324</xdr:rowOff>
    </xdr:to>
    <xdr:cxnSp macro="">
      <xdr:nvCxnSpPr>
        <xdr:cNvPr id="18" name="Conector recto de flecha 17">
          <a:extLst>
            <a:ext uri="{FF2B5EF4-FFF2-40B4-BE49-F238E27FC236}">
              <a16:creationId xmlns:a16="http://schemas.microsoft.com/office/drawing/2014/main" id="{BABD2ECA-D6D7-498E-AD8A-BB0C648E0F82}"/>
            </a:ext>
          </a:extLst>
        </xdr:cNvPr>
        <xdr:cNvCxnSpPr>
          <a:stCxn id="20" idx="3"/>
        </xdr:cNvCxnSpPr>
      </xdr:nvCxnSpPr>
      <xdr:spPr>
        <a:xfrm>
          <a:off x="6173325" y="34240720"/>
          <a:ext cx="443187"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717176</xdr:colOff>
      <xdr:row>128</xdr:row>
      <xdr:rowOff>739588</xdr:rowOff>
    </xdr:from>
    <xdr:to>
      <xdr:col>6</xdr:col>
      <xdr:colOff>78723</xdr:colOff>
      <xdr:row>128</xdr:row>
      <xdr:rowOff>1224854</xdr:rowOff>
    </xdr:to>
    <xdr:cxnSp macro="">
      <xdr:nvCxnSpPr>
        <xdr:cNvPr id="19" name="Conector recto de flecha 18">
          <a:extLst>
            <a:ext uri="{FF2B5EF4-FFF2-40B4-BE49-F238E27FC236}">
              <a16:creationId xmlns:a16="http://schemas.microsoft.com/office/drawing/2014/main" id="{F17949B5-649D-4B9C-851E-C1A017684FC2}"/>
            </a:ext>
          </a:extLst>
        </xdr:cNvPr>
        <xdr:cNvCxnSpPr/>
      </xdr:nvCxnSpPr>
      <xdr:spPr>
        <a:xfrm flipH="1" flipV="1">
          <a:off x="7165601" y="34543813"/>
          <a:ext cx="980797"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761998</xdr:colOff>
      <xdr:row>128</xdr:row>
      <xdr:rowOff>189430</xdr:rowOff>
    </xdr:from>
    <xdr:ext cx="1094261" cy="494129"/>
    <xdr:sp macro="" textlink="">
      <xdr:nvSpPr>
        <xdr:cNvPr id="20" name="CuadroTexto 19">
          <a:extLst>
            <a:ext uri="{FF2B5EF4-FFF2-40B4-BE49-F238E27FC236}">
              <a16:creationId xmlns:a16="http://schemas.microsoft.com/office/drawing/2014/main" id="{7E0CC3E3-814F-4ED3-B3EE-8E2F3F0419B9}"/>
            </a:ext>
          </a:extLst>
        </xdr:cNvPr>
        <xdr:cNvSpPr txBox="1"/>
      </xdr:nvSpPr>
      <xdr:spPr>
        <a:xfrm>
          <a:off x="5076823" y="33993655"/>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128</xdr:row>
      <xdr:rowOff>4639235</xdr:rowOff>
    </xdr:from>
    <xdr:ext cx="2860309" cy="291039"/>
    <xdr:sp macro="" textlink="">
      <xdr:nvSpPr>
        <xdr:cNvPr id="21" name="CuadroTexto 20">
          <a:extLst>
            <a:ext uri="{FF2B5EF4-FFF2-40B4-BE49-F238E27FC236}">
              <a16:creationId xmlns:a16="http://schemas.microsoft.com/office/drawing/2014/main" id="{8621C2E3-FA21-4B27-8687-5AA08EC2A125}"/>
            </a:ext>
          </a:extLst>
        </xdr:cNvPr>
        <xdr:cNvSpPr txBox="1"/>
      </xdr:nvSpPr>
      <xdr:spPr>
        <a:xfrm>
          <a:off x="728382" y="38443460"/>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128</xdr:row>
      <xdr:rowOff>4235824</xdr:rowOff>
    </xdr:from>
    <xdr:to>
      <xdr:col>6</xdr:col>
      <xdr:colOff>723553</xdr:colOff>
      <xdr:row>129</xdr:row>
      <xdr:rowOff>165384</xdr:rowOff>
    </xdr:to>
    <xdr:pic>
      <xdr:nvPicPr>
        <xdr:cNvPr id="22" name="Imagen 21">
          <a:extLst>
            <a:ext uri="{FF2B5EF4-FFF2-40B4-BE49-F238E27FC236}">
              <a16:creationId xmlns:a16="http://schemas.microsoft.com/office/drawing/2014/main" id="{26173E79-D1B8-4D2A-BA95-1A80F7E05EDF}"/>
            </a:ext>
          </a:extLst>
        </xdr:cNvPr>
        <xdr:cNvPicPr>
          <a:picLocks noChangeAspect="1"/>
        </xdr:cNvPicPr>
      </xdr:nvPicPr>
      <xdr:blipFill rotWithShape="1">
        <a:blip xmlns:r="http://schemas.openxmlformats.org/officeDocument/2006/relationships" r:embed="rId10"/>
        <a:srcRect l="6049" t="8786"/>
        <a:stretch/>
      </xdr:blipFill>
      <xdr:spPr>
        <a:xfrm>
          <a:off x="7623161" y="38040049"/>
          <a:ext cx="1168067" cy="863510"/>
        </a:xfrm>
        <a:prstGeom prst="rect">
          <a:avLst/>
        </a:prstGeom>
      </xdr:spPr>
    </xdr:pic>
    <xdr:clientData/>
  </xdr:twoCellAnchor>
  <xdr:oneCellAnchor>
    <xdr:from>
      <xdr:col>9</xdr:col>
      <xdr:colOff>0</xdr:colOff>
      <xdr:row>114</xdr:row>
      <xdr:rowOff>0</xdr:rowOff>
    </xdr:from>
    <xdr:ext cx="304800" cy="301625"/>
    <xdr:sp macro="" textlink="">
      <xdr:nvSpPr>
        <xdr:cNvPr id="23" name="AutoShape 1">
          <a:extLst>
            <a:ext uri="{FF2B5EF4-FFF2-40B4-BE49-F238E27FC236}">
              <a16:creationId xmlns:a16="http://schemas.microsoft.com/office/drawing/2014/main" id="{A62732DF-6191-4D91-A1AA-91C107B19788}"/>
            </a:ext>
          </a:extLst>
        </xdr:cNvPr>
        <xdr:cNvSpPr>
          <a:spLocks noChangeAspect="1" noChangeArrowheads="1"/>
        </xdr:cNvSpPr>
      </xdr:nvSpPr>
      <xdr:spPr bwMode="auto">
        <a:xfrm>
          <a:off x="12496800" y="293084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114</xdr:row>
      <xdr:rowOff>0</xdr:rowOff>
    </xdr:from>
    <xdr:ext cx="304800" cy="301625"/>
    <xdr:sp macro="" textlink="">
      <xdr:nvSpPr>
        <xdr:cNvPr id="24" name="AutoShape 2">
          <a:extLst>
            <a:ext uri="{FF2B5EF4-FFF2-40B4-BE49-F238E27FC236}">
              <a16:creationId xmlns:a16="http://schemas.microsoft.com/office/drawing/2014/main" id="{DC49574E-557D-4481-9147-916EC2EF5C35}"/>
            </a:ext>
          </a:extLst>
        </xdr:cNvPr>
        <xdr:cNvSpPr>
          <a:spLocks noChangeAspect="1" noChangeArrowheads="1"/>
        </xdr:cNvSpPr>
      </xdr:nvSpPr>
      <xdr:spPr bwMode="auto">
        <a:xfrm>
          <a:off x="14916150" y="293084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121</xdr:row>
      <xdr:rowOff>0</xdr:rowOff>
    </xdr:from>
    <xdr:ext cx="304800" cy="301625"/>
    <xdr:sp macro="" textlink="">
      <xdr:nvSpPr>
        <xdr:cNvPr id="25" name="AutoShape 1">
          <a:extLst>
            <a:ext uri="{FF2B5EF4-FFF2-40B4-BE49-F238E27FC236}">
              <a16:creationId xmlns:a16="http://schemas.microsoft.com/office/drawing/2014/main" id="{4E5C873A-D7A5-414E-9354-3E0820E6FF8A}"/>
            </a:ext>
          </a:extLst>
        </xdr:cNvPr>
        <xdr:cNvSpPr>
          <a:spLocks noChangeAspect="1" noChangeArrowheads="1"/>
        </xdr:cNvSpPr>
      </xdr:nvSpPr>
      <xdr:spPr bwMode="auto">
        <a:xfrm>
          <a:off x="12496800" y="31784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6" name="AutoShape 2">
          <a:extLst>
            <a:ext uri="{FF2B5EF4-FFF2-40B4-BE49-F238E27FC236}">
              <a16:creationId xmlns:a16="http://schemas.microsoft.com/office/drawing/2014/main" id="{81DFEEEB-95A2-4DE9-82E0-0BE0F5BC1F8D}"/>
            </a:ext>
          </a:extLst>
        </xdr:cNvPr>
        <xdr:cNvSpPr>
          <a:spLocks noChangeAspect="1" noChangeArrowheads="1"/>
        </xdr:cNvSpPr>
      </xdr:nvSpPr>
      <xdr:spPr bwMode="auto">
        <a:xfrm>
          <a:off x="14916150" y="31784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125</xdr:row>
      <xdr:rowOff>0</xdr:rowOff>
    </xdr:from>
    <xdr:ext cx="304800" cy="301625"/>
    <xdr:sp macro="" textlink="">
      <xdr:nvSpPr>
        <xdr:cNvPr id="27" name="AutoShape 1">
          <a:extLst>
            <a:ext uri="{FF2B5EF4-FFF2-40B4-BE49-F238E27FC236}">
              <a16:creationId xmlns:a16="http://schemas.microsoft.com/office/drawing/2014/main" id="{B4C266E2-7FD4-451E-B1E3-C3FBF3CD56CB}"/>
            </a:ext>
          </a:extLst>
        </xdr:cNvPr>
        <xdr:cNvSpPr>
          <a:spLocks noChangeAspect="1" noChangeArrowheads="1"/>
        </xdr:cNvSpPr>
      </xdr:nvSpPr>
      <xdr:spPr bwMode="auto">
        <a:xfrm>
          <a:off x="12496800" y="33175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xdr:row>
      <xdr:rowOff>0</xdr:rowOff>
    </xdr:from>
    <xdr:ext cx="304800" cy="301625"/>
    <xdr:sp macro="" textlink="">
      <xdr:nvSpPr>
        <xdr:cNvPr id="28" name="AutoShape 2">
          <a:extLst>
            <a:ext uri="{FF2B5EF4-FFF2-40B4-BE49-F238E27FC236}">
              <a16:creationId xmlns:a16="http://schemas.microsoft.com/office/drawing/2014/main" id="{F05ED971-E391-4BAD-8AB0-A5E586629F1A}"/>
            </a:ext>
          </a:extLst>
        </xdr:cNvPr>
        <xdr:cNvSpPr>
          <a:spLocks noChangeAspect="1" noChangeArrowheads="1"/>
        </xdr:cNvSpPr>
      </xdr:nvSpPr>
      <xdr:spPr bwMode="auto">
        <a:xfrm>
          <a:off x="14916150" y="33175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128</xdr:row>
      <xdr:rowOff>2853017</xdr:rowOff>
    </xdr:from>
    <xdr:to>
      <xdr:col>5</xdr:col>
      <xdr:colOff>762357</xdr:colOff>
      <xdr:row>128</xdr:row>
      <xdr:rowOff>3827927</xdr:rowOff>
    </xdr:to>
    <xdr:pic>
      <xdr:nvPicPr>
        <xdr:cNvPr id="29" name="Imagen 28">
          <a:extLst>
            <a:ext uri="{FF2B5EF4-FFF2-40B4-BE49-F238E27FC236}">
              <a16:creationId xmlns:a16="http://schemas.microsoft.com/office/drawing/2014/main" id="{9812ABB8-B958-4700-AC7A-2A82DD70A1E8}"/>
            </a:ext>
          </a:extLst>
        </xdr:cNvPr>
        <xdr:cNvPicPr>
          <a:picLocks noChangeAspect="1"/>
        </xdr:cNvPicPr>
      </xdr:nvPicPr>
      <xdr:blipFill rotWithShape="1">
        <a:blip xmlns:r="http://schemas.openxmlformats.org/officeDocument/2006/relationships" r:embed="rId3"/>
        <a:srcRect l="4422" t="16538" r="736" b="-178"/>
        <a:stretch/>
      </xdr:blipFill>
      <xdr:spPr>
        <a:xfrm>
          <a:off x="5374900" y="36657242"/>
          <a:ext cx="1835882" cy="974910"/>
        </a:xfrm>
        <a:prstGeom prst="rect">
          <a:avLst/>
        </a:prstGeom>
      </xdr:spPr>
    </xdr:pic>
    <xdr:clientData/>
  </xdr:twoCellAnchor>
  <xdr:twoCellAnchor editAs="oneCell">
    <xdr:from>
      <xdr:col>5</xdr:col>
      <xdr:colOff>1170253</xdr:colOff>
      <xdr:row>128</xdr:row>
      <xdr:rowOff>2976283</xdr:rowOff>
    </xdr:from>
    <xdr:to>
      <xdr:col>6</xdr:col>
      <xdr:colOff>719070</xdr:colOff>
      <xdr:row>128</xdr:row>
      <xdr:rowOff>3836431</xdr:rowOff>
    </xdr:to>
    <xdr:pic>
      <xdr:nvPicPr>
        <xdr:cNvPr id="30" name="Imagen 29">
          <a:extLst>
            <a:ext uri="{FF2B5EF4-FFF2-40B4-BE49-F238E27FC236}">
              <a16:creationId xmlns:a16="http://schemas.microsoft.com/office/drawing/2014/main" id="{66572B5F-C0BD-4B4F-AFAB-A96D153FDB64}"/>
            </a:ext>
          </a:extLst>
        </xdr:cNvPr>
        <xdr:cNvPicPr>
          <a:picLocks noChangeAspect="1"/>
        </xdr:cNvPicPr>
      </xdr:nvPicPr>
      <xdr:blipFill rotWithShape="1">
        <a:blip xmlns:r="http://schemas.openxmlformats.org/officeDocument/2006/relationships" r:embed="rId10"/>
        <a:srcRect l="6049" t="8786"/>
        <a:stretch/>
      </xdr:blipFill>
      <xdr:spPr>
        <a:xfrm>
          <a:off x="7618678" y="36780508"/>
          <a:ext cx="1168067" cy="860148"/>
        </a:xfrm>
        <a:prstGeom prst="rect">
          <a:avLst/>
        </a:prstGeom>
      </xdr:spPr>
    </xdr:pic>
    <xdr:clientData/>
  </xdr:twoCellAnchor>
  <xdr:twoCellAnchor editAs="oneCell">
    <xdr:from>
      <xdr:col>3</xdr:col>
      <xdr:colOff>977152</xdr:colOff>
      <xdr:row>128</xdr:row>
      <xdr:rowOff>1638300</xdr:rowOff>
    </xdr:from>
    <xdr:to>
      <xdr:col>5</xdr:col>
      <xdr:colOff>679434</xdr:colOff>
      <xdr:row>128</xdr:row>
      <xdr:rowOff>2613210</xdr:rowOff>
    </xdr:to>
    <xdr:pic>
      <xdr:nvPicPr>
        <xdr:cNvPr id="31" name="Imagen 30">
          <a:extLst>
            <a:ext uri="{FF2B5EF4-FFF2-40B4-BE49-F238E27FC236}">
              <a16:creationId xmlns:a16="http://schemas.microsoft.com/office/drawing/2014/main" id="{E38E37B6-96EB-4384-B7AF-7BB8A4F29545}"/>
            </a:ext>
          </a:extLst>
        </xdr:cNvPr>
        <xdr:cNvPicPr>
          <a:picLocks noChangeAspect="1"/>
        </xdr:cNvPicPr>
      </xdr:nvPicPr>
      <xdr:blipFill rotWithShape="1">
        <a:blip xmlns:r="http://schemas.openxmlformats.org/officeDocument/2006/relationships" r:embed="rId3"/>
        <a:srcRect l="4422" t="16538" r="736" b="-178"/>
        <a:stretch/>
      </xdr:blipFill>
      <xdr:spPr>
        <a:xfrm>
          <a:off x="5291977" y="35442525"/>
          <a:ext cx="1835882" cy="974910"/>
        </a:xfrm>
        <a:prstGeom prst="rect">
          <a:avLst/>
        </a:prstGeom>
      </xdr:spPr>
    </xdr:pic>
    <xdr:clientData/>
  </xdr:twoCellAnchor>
  <xdr:twoCellAnchor editAs="oneCell">
    <xdr:from>
      <xdr:col>5</xdr:col>
      <xdr:colOff>1087330</xdr:colOff>
      <xdr:row>128</xdr:row>
      <xdr:rowOff>1761566</xdr:rowOff>
    </xdr:from>
    <xdr:to>
      <xdr:col>6</xdr:col>
      <xdr:colOff>636147</xdr:colOff>
      <xdr:row>128</xdr:row>
      <xdr:rowOff>2621714</xdr:rowOff>
    </xdr:to>
    <xdr:pic>
      <xdr:nvPicPr>
        <xdr:cNvPr id="32" name="Imagen 31">
          <a:extLst>
            <a:ext uri="{FF2B5EF4-FFF2-40B4-BE49-F238E27FC236}">
              <a16:creationId xmlns:a16="http://schemas.microsoft.com/office/drawing/2014/main" id="{64D1C9B5-F1C7-4BE0-8288-BC4F9001D2A1}"/>
            </a:ext>
          </a:extLst>
        </xdr:cNvPr>
        <xdr:cNvPicPr>
          <a:picLocks noChangeAspect="1"/>
        </xdr:cNvPicPr>
      </xdr:nvPicPr>
      <xdr:blipFill rotWithShape="1">
        <a:blip xmlns:r="http://schemas.openxmlformats.org/officeDocument/2006/relationships" r:embed="rId10"/>
        <a:srcRect l="6049" t="8786"/>
        <a:stretch/>
      </xdr:blipFill>
      <xdr:spPr>
        <a:xfrm>
          <a:off x="7535755" y="35565791"/>
          <a:ext cx="1168067" cy="860148"/>
        </a:xfrm>
        <a:prstGeom prst="rect">
          <a:avLst/>
        </a:prstGeom>
      </xdr:spPr>
    </xdr:pic>
    <xdr:clientData/>
  </xdr:twoCellAnchor>
  <xdr:twoCellAnchor>
    <xdr:from>
      <xdr:col>5</xdr:col>
      <xdr:colOff>728383</xdr:colOff>
      <xdr:row>128</xdr:row>
      <xdr:rowOff>1860176</xdr:rowOff>
    </xdr:from>
    <xdr:to>
      <xdr:col>5</xdr:col>
      <xdr:colOff>1243854</xdr:colOff>
      <xdr:row>128</xdr:row>
      <xdr:rowOff>2259105</xdr:rowOff>
    </xdr:to>
    <xdr:sp macro="" textlink="">
      <xdr:nvSpPr>
        <xdr:cNvPr id="33" name="Signo más 32">
          <a:extLst>
            <a:ext uri="{FF2B5EF4-FFF2-40B4-BE49-F238E27FC236}">
              <a16:creationId xmlns:a16="http://schemas.microsoft.com/office/drawing/2014/main" id="{EDCB9064-1415-47B5-8D33-310DA21EAF29}"/>
            </a:ext>
          </a:extLst>
        </xdr:cNvPr>
        <xdr:cNvSpPr/>
      </xdr:nvSpPr>
      <xdr:spPr>
        <a:xfrm>
          <a:off x="7176808" y="35664401"/>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128</xdr:row>
      <xdr:rowOff>3133164</xdr:rowOff>
    </xdr:from>
    <xdr:to>
      <xdr:col>5</xdr:col>
      <xdr:colOff>1284195</xdr:colOff>
      <xdr:row>128</xdr:row>
      <xdr:rowOff>3532093</xdr:rowOff>
    </xdr:to>
    <xdr:sp macro="" textlink="">
      <xdr:nvSpPr>
        <xdr:cNvPr id="34" name="Signo más 33">
          <a:extLst>
            <a:ext uri="{FF2B5EF4-FFF2-40B4-BE49-F238E27FC236}">
              <a16:creationId xmlns:a16="http://schemas.microsoft.com/office/drawing/2014/main" id="{9861B1D6-5CC9-465B-8C6D-B5F494A19FE9}"/>
            </a:ext>
          </a:extLst>
        </xdr:cNvPr>
        <xdr:cNvSpPr/>
      </xdr:nvSpPr>
      <xdr:spPr>
        <a:xfrm>
          <a:off x="7217149" y="36937389"/>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128</xdr:row>
      <xdr:rowOff>4406152</xdr:rowOff>
    </xdr:from>
    <xdr:to>
      <xdr:col>5</xdr:col>
      <xdr:colOff>1313331</xdr:colOff>
      <xdr:row>128</xdr:row>
      <xdr:rowOff>4805081</xdr:rowOff>
    </xdr:to>
    <xdr:sp macro="" textlink="">
      <xdr:nvSpPr>
        <xdr:cNvPr id="35" name="Signo más 34">
          <a:extLst>
            <a:ext uri="{FF2B5EF4-FFF2-40B4-BE49-F238E27FC236}">
              <a16:creationId xmlns:a16="http://schemas.microsoft.com/office/drawing/2014/main" id="{02C3ACC2-958D-48AD-97C0-D1655123DDB9}"/>
            </a:ext>
          </a:extLst>
        </xdr:cNvPr>
        <xdr:cNvSpPr/>
      </xdr:nvSpPr>
      <xdr:spPr>
        <a:xfrm>
          <a:off x="7246285" y="38210377"/>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6" name="Conector recto de flecha 35">
          <a:extLst>
            <a:ext uri="{FF2B5EF4-FFF2-40B4-BE49-F238E27FC236}">
              <a16:creationId xmlns:a16="http://schemas.microsoft.com/office/drawing/2014/main" id="{3B49655F-9D8E-4F8D-B1F6-00D38FB548BF}"/>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128</xdr:row>
      <xdr:rowOff>2734236</xdr:rowOff>
    </xdr:from>
    <xdr:to>
      <xdr:col>4</xdr:col>
      <xdr:colOff>549088</xdr:colOff>
      <xdr:row>128</xdr:row>
      <xdr:rowOff>3104030</xdr:rowOff>
    </xdr:to>
    <xdr:cxnSp macro="">
      <xdr:nvCxnSpPr>
        <xdr:cNvPr id="37" name="Conector recto de flecha 36">
          <a:extLst>
            <a:ext uri="{FF2B5EF4-FFF2-40B4-BE49-F238E27FC236}">
              <a16:creationId xmlns:a16="http://schemas.microsoft.com/office/drawing/2014/main" id="{F24157CE-4019-4776-A39A-0203AAD1DEF0}"/>
            </a:ext>
          </a:extLst>
        </xdr:cNvPr>
        <xdr:cNvCxnSpPr/>
      </xdr:nvCxnSpPr>
      <xdr:spPr>
        <a:xfrm>
          <a:off x="4975972" y="36538461"/>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128</xdr:row>
      <xdr:rowOff>2125755</xdr:rowOff>
    </xdr:from>
    <xdr:to>
      <xdr:col>3</xdr:col>
      <xdr:colOff>977152</xdr:colOff>
      <xdr:row>128</xdr:row>
      <xdr:rowOff>2203077</xdr:rowOff>
    </xdr:to>
    <xdr:cxnSp macro="">
      <xdr:nvCxnSpPr>
        <xdr:cNvPr id="38" name="Conector recto de flecha 37">
          <a:extLst>
            <a:ext uri="{FF2B5EF4-FFF2-40B4-BE49-F238E27FC236}">
              <a16:creationId xmlns:a16="http://schemas.microsoft.com/office/drawing/2014/main" id="{01B4E699-3199-446C-9CF1-02AF611D9CD0}"/>
            </a:ext>
          </a:extLst>
        </xdr:cNvPr>
        <xdr:cNvCxnSpPr>
          <a:endCxn id="31" idx="1"/>
        </xdr:cNvCxnSpPr>
      </xdr:nvCxnSpPr>
      <xdr:spPr>
        <a:xfrm flipV="1">
          <a:off x="4881843" y="35929980"/>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128</xdr:row>
      <xdr:rowOff>1199030</xdr:rowOff>
    </xdr:from>
    <xdr:to>
      <xdr:col>3</xdr:col>
      <xdr:colOff>818029</xdr:colOff>
      <xdr:row>128</xdr:row>
      <xdr:rowOff>1414183</xdr:rowOff>
    </xdr:to>
    <xdr:cxnSp macro="">
      <xdr:nvCxnSpPr>
        <xdr:cNvPr id="39" name="Conector recto de flecha 38">
          <a:extLst>
            <a:ext uri="{FF2B5EF4-FFF2-40B4-BE49-F238E27FC236}">
              <a16:creationId xmlns:a16="http://schemas.microsoft.com/office/drawing/2014/main" id="{48D8082B-D953-420C-9C59-23BCAE762093}"/>
            </a:ext>
          </a:extLst>
        </xdr:cNvPr>
        <xdr:cNvCxnSpPr/>
      </xdr:nvCxnSpPr>
      <xdr:spPr>
        <a:xfrm flipV="1">
          <a:off x="4586007" y="35003255"/>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605116</xdr:colOff>
      <xdr:row>0</xdr:row>
      <xdr:rowOff>93682</xdr:rowOff>
    </xdr:from>
    <xdr:to>
      <xdr:col>7</xdr:col>
      <xdr:colOff>997324</xdr:colOff>
      <xdr:row>0</xdr:row>
      <xdr:rowOff>1503151</xdr:rowOff>
    </xdr:to>
    <xdr:pic>
      <xdr:nvPicPr>
        <xdr:cNvPr id="40" name="Imagen 39">
          <a:extLst>
            <a:ext uri="{FF2B5EF4-FFF2-40B4-BE49-F238E27FC236}">
              <a16:creationId xmlns:a16="http://schemas.microsoft.com/office/drawing/2014/main" id="{AB613366-5EFA-4A58-954B-1963A9EDDE27}"/>
            </a:ext>
          </a:extLst>
        </xdr:cNvPr>
        <xdr:cNvPicPr>
          <a:picLocks noChangeAspect="1"/>
        </xdr:cNvPicPr>
      </xdr:nvPicPr>
      <xdr:blipFill rotWithShape="1">
        <a:blip xmlns:r="http://schemas.openxmlformats.org/officeDocument/2006/relationships" r:embed="rId11"/>
        <a:srcRect t="4420" r="5369"/>
        <a:stretch/>
      </xdr:blipFill>
      <xdr:spPr>
        <a:xfrm>
          <a:off x="8672791" y="93682"/>
          <a:ext cx="1840008" cy="1409469"/>
        </a:xfrm>
        <a:prstGeom prst="rect">
          <a:avLst/>
        </a:prstGeom>
      </xdr:spPr>
    </xdr:pic>
    <xdr:clientData/>
  </xdr:twoCellAnchor>
  <xdr:oneCellAnchor>
    <xdr:from>
      <xdr:col>3</xdr:col>
      <xdr:colOff>907673</xdr:colOff>
      <xdr:row>128</xdr:row>
      <xdr:rowOff>1231579</xdr:rowOff>
    </xdr:from>
    <xdr:ext cx="1972238" cy="303626"/>
    <xdr:sp macro="" textlink="">
      <xdr:nvSpPr>
        <xdr:cNvPr id="41" name="CuadroTexto 40">
          <a:extLst>
            <a:ext uri="{FF2B5EF4-FFF2-40B4-BE49-F238E27FC236}">
              <a16:creationId xmlns:a16="http://schemas.microsoft.com/office/drawing/2014/main" id="{C7842FDE-B027-48AF-AD4C-680185B82E6B}"/>
            </a:ext>
          </a:extLst>
        </xdr:cNvPr>
        <xdr:cNvSpPr txBox="1"/>
      </xdr:nvSpPr>
      <xdr:spPr>
        <a:xfrm>
          <a:off x="5222498" y="35035804"/>
          <a:ext cx="1972238" cy="30362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1">
              <a:effectLst/>
            </a:rPr>
            <a:t>ADICIONALES ULTIMO NIVEL</a:t>
          </a:r>
        </a:p>
        <a:p>
          <a:pPr algn="ctr"/>
          <a:endParaRPr lang="es-PA" sz="1100"/>
        </a:p>
        <a:p>
          <a:endParaRPr lang="es-PA" sz="1100"/>
        </a:p>
      </xdr:txBody>
    </xdr:sp>
    <xdr:clientData/>
  </xdr:oneCellAnchor>
  <xdr:oneCellAnchor>
    <xdr:from>
      <xdr:col>4</xdr:col>
      <xdr:colOff>694762</xdr:colOff>
      <xdr:row>129</xdr:row>
      <xdr:rowOff>180467</xdr:rowOff>
    </xdr:from>
    <xdr:ext cx="1445561" cy="258805"/>
    <xdr:sp macro="" textlink="">
      <xdr:nvSpPr>
        <xdr:cNvPr id="42" name="CuadroTexto 41">
          <a:extLst>
            <a:ext uri="{FF2B5EF4-FFF2-40B4-BE49-F238E27FC236}">
              <a16:creationId xmlns:a16="http://schemas.microsoft.com/office/drawing/2014/main" id="{B8D43351-FB80-4047-BB04-A19B78BEFFE1}"/>
            </a:ext>
          </a:extLst>
        </xdr:cNvPr>
        <xdr:cNvSpPr txBox="1"/>
      </xdr:nvSpPr>
      <xdr:spPr>
        <a:xfrm>
          <a:off x="6076387" y="38918642"/>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5</xdr:col>
      <xdr:colOff>29134</xdr:colOff>
      <xdr:row>128</xdr:row>
      <xdr:rowOff>3773073</xdr:rowOff>
    </xdr:from>
    <xdr:ext cx="1618131" cy="274492"/>
    <xdr:sp macro="" textlink="">
      <xdr:nvSpPr>
        <xdr:cNvPr id="43" name="CuadroTexto 42">
          <a:extLst>
            <a:ext uri="{FF2B5EF4-FFF2-40B4-BE49-F238E27FC236}">
              <a16:creationId xmlns:a16="http://schemas.microsoft.com/office/drawing/2014/main" id="{4B27B11D-8392-4289-B7ED-3C6D8504C955}"/>
            </a:ext>
          </a:extLst>
        </xdr:cNvPr>
        <xdr:cNvSpPr txBox="1"/>
      </xdr:nvSpPr>
      <xdr:spPr>
        <a:xfrm>
          <a:off x="6477559" y="3757729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5</xdr:col>
      <xdr:colOff>13446</xdr:colOff>
      <xdr:row>128</xdr:row>
      <xdr:rowOff>2457503</xdr:rowOff>
    </xdr:from>
    <xdr:ext cx="1618131" cy="274492"/>
    <xdr:sp macro="" textlink="">
      <xdr:nvSpPr>
        <xdr:cNvPr id="44" name="CuadroTexto 43">
          <a:extLst>
            <a:ext uri="{FF2B5EF4-FFF2-40B4-BE49-F238E27FC236}">
              <a16:creationId xmlns:a16="http://schemas.microsoft.com/office/drawing/2014/main" id="{3A9802A2-916D-4549-9A21-BCD9813A60EC}"/>
            </a:ext>
          </a:extLst>
        </xdr:cNvPr>
        <xdr:cNvSpPr txBox="1"/>
      </xdr:nvSpPr>
      <xdr:spPr>
        <a:xfrm>
          <a:off x="6461871" y="3626172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4</xdr:col>
      <xdr:colOff>717176</xdr:colOff>
      <xdr:row>55</xdr:row>
      <xdr:rowOff>178695</xdr:rowOff>
    </xdr:from>
    <xdr:to>
      <xdr:col>7</xdr:col>
      <xdr:colOff>1389530</xdr:colOff>
      <xdr:row>55</xdr:row>
      <xdr:rowOff>1178509</xdr:rowOff>
    </xdr:to>
    <xdr:pic>
      <xdr:nvPicPr>
        <xdr:cNvPr id="2" name="Imagen 1">
          <a:extLst>
            <a:ext uri="{FF2B5EF4-FFF2-40B4-BE49-F238E27FC236}">
              <a16:creationId xmlns:a16="http://schemas.microsoft.com/office/drawing/2014/main" id="{641CB87A-3326-4043-B0B6-92464E2B0C73}"/>
            </a:ext>
          </a:extLst>
        </xdr:cNvPr>
        <xdr:cNvPicPr>
          <a:picLocks noChangeAspect="1"/>
        </xdr:cNvPicPr>
      </xdr:nvPicPr>
      <xdr:blipFill>
        <a:blip xmlns:r="http://schemas.openxmlformats.org/officeDocument/2006/relationships" r:embed="rId1"/>
        <a:stretch>
          <a:fillRect/>
        </a:stretch>
      </xdr:blipFill>
      <xdr:spPr>
        <a:xfrm>
          <a:off x="6098801" y="14875770"/>
          <a:ext cx="4806204" cy="999814"/>
        </a:xfrm>
        <a:prstGeom prst="rect">
          <a:avLst/>
        </a:prstGeom>
      </xdr:spPr>
    </xdr:pic>
    <xdr:clientData/>
  </xdr:twoCellAnchor>
  <xdr:twoCellAnchor editAs="oneCell">
    <xdr:from>
      <xdr:col>0</xdr:col>
      <xdr:colOff>112058</xdr:colOff>
      <xdr:row>55</xdr:row>
      <xdr:rowOff>77412</xdr:rowOff>
    </xdr:from>
    <xdr:to>
      <xdr:col>2</xdr:col>
      <xdr:colOff>2095500</xdr:colOff>
      <xdr:row>55</xdr:row>
      <xdr:rowOff>2308410</xdr:rowOff>
    </xdr:to>
    <xdr:pic>
      <xdr:nvPicPr>
        <xdr:cNvPr id="3" name="Imagen 2">
          <a:extLst>
            <a:ext uri="{FF2B5EF4-FFF2-40B4-BE49-F238E27FC236}">
              <a16:creationId xmlns:a16="http://schemas.microsoft.com/office/drawing/2014/main" id="{B3092478-910A-4B44-8069-45C61823540A}"/>
            </a:ext>
          </a:extLst>
        </xdr:cNvPr>
        <xdr:cNvPicPr>
          <a:picLocks noChangeAspect="1"/>
        </xdr:cNvPicPr>
      </xdr:nvPicPr>
      <xdr:blipFill rotWithShape="1">
        <a:blip xmlns:r="http://schemas.openxmlformats.org/officeDocument/2006/relationships" r:embed="rId2"/>
        <a:srcRect l="4422" t="16538" r="736" b="-178"/>
        <a:stretch/>
      </xdr:blipFill>
      <xdr:spPr>
        <a:xfrm>
          <a:off x="112058" y="14774487"/>
          <a:ext cx="4193242" cy="2230998"/>
        </a:xfrm>
        <a:prstGeom prst="rect">
          <a:avLst/>
        </a:prstGeom>
      </xdr:spPr>
    </xdr:pic>
    <xdr:clientData/>
  </xdr:twoCellAnchor>
  <xdr:twoCellAnchor editAs="oneCell">
    <xdr:from>
      <xdr:col>2</xdr:col>
      <xdr:colOff>1770529</xdr:colOff>
      <xdr:row>55</xdr:row>
      <xdr:rowOff>1725705</xdr:rowOff>
    </xdr:from>
    <xdr:to>
      <xdr:col>6</xdr:col>
      <xdr:colOff>348645</xdr:colOff>
      <xdr:row>55</xdr:row>
      <xdr:rowOff>4789240</xdr:rowOff>
    </xdr:to>
    <xdr:pic>
      <xdr:nvPicPr>
        <xdr:cNvPr id="4" name="Imagen 3">
          <a:extLst>
            <a:ext uri="{FF2B5EF4-FFF2-40B4-BE49-F238E27FC236}">
              <a16:creationId xmlns:a16="http://schemas.microsoft.com/office/drawing/2014/main" id="{9170E0B7-0939-480B-8C1D-D9EA5CFCD2D3}"/>
            </a:ext>
          </a:extLst>
        </xdr:cNvPr>
        <xdr:cNvPicPr>
          <a:picLocks noChangeAspect="1"/>
        </xdr:cNvPicPr>
      </xdr:nvPicPr>
      <xdr:blipFill>
        <a:blip xmlns:r="http://schemas.openxmlformats.org/officeDocument/2006/relationships" r:embed="rId3"/>
        <a:stretch>
          <a:fillRect/>
        </a:stretch>
      </xdr:blipFill>
      <xdr:spPr>
        <a:xfrm>
          <a:off x="3980329" y="16422780"/>
          <a:ext cx="4435991" cy="3063535"/>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5" name="Imagen 4" descr="logo-01.jpg">
          <a:extLst>
            <a:ext uri="{FF2B5EF4-FFF2-40B4-BE49-F238E27FC236}">
              <a16:creationId xmlns:a16="http://schemas.microsoft.com/office/drawing/2014/main" id="{0BAD8C57-97B7-4134-98A5-CB688C101C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85</xdr:row>
      <xdr:rowOff>66260</xdr:rowOff>
    </xdr:from>
    <xdr:to>
      <xdr:col>7</xdr:col>
      <xdr:colOff>1257836</xdr:colOff>
      <xdr:row>85</xdr:row>
      <xdr:rowOff>808463</xdr:rowOff>
    </xdr:to>
    <xdr:pic>
      <xdr:nvPicPr>
        <xdr:cNvPr id="6" name="Imagen 5" descr="Imagen de WhatsApp 2023-03-09 a las 17.44.48">
          <a:extLst>
            <a:ext uri="{FF2B5EF4-FFF2-40B4-BE49-F238E27FC236}">
              <a16:creationId xmlns:a16="http://schemas.microsoft.com/office/drawing/2014/main" id="{6DD090EE-CD1E-4ABE-9C8A-177AA503484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9606893" y="2695533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86</xdr:row>
      <xdr:rowOff>47625</xdr:rowOff>
    </xdr:from>
    <xdr:to>
      <xdr:col>7</xdr:col>
      <xdr:colOff>828675</xdr:colOff>
      <xdr:row>86</xdr:row>
      <xdr:rowOff>647700</xdr:rowOff>
    </xdr:to>
    <xdr:pic>
      <xdr:nvPicPr>
        <xdr:cNvPr id="7" name="Imagen 10">
          <a:extLst>
            <a:ext uri="{FF2B5EF4-FFF2-40B4-BE49-F238E27FC236}">
              <a16:creationId xmlns:a16="http://schemas.microsoft.com/office/drawing/2014/main" id="{F71C4ED9-D06B-4E20-BFDA-75B65409C80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996" t="46437" r="77777" b="29472"/>
        <a:stretch>
          <a:fillRect/>
        </a:stretch>
      </xdr:blipFill>
      <xdr:spPr>
        <a:xfrm>
          <a:off x="9772650" y="2778442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55</xdr:row>
      <xdr:rowOff>424675</xdr:rowOff>
    </xdr:from>
    <xdr:to>
      <xdr:col>33</xdr:col>
      <xdr:colOff>287574</xdr:colOff>
      <xdr:row>55</xdr:row>
      <xdr:rowOff>2893219</xdr:rowOff>
    </xdr:to>
    <xdr:pic>
      <xdr:nvPicPr>
        <xdr:cNvPr id="8" name="Imagen 7">
          <a:extLst>
            <a:ext uri="{FF2B5EF4-FFF2-40B4-BE49-F238E27FC236}">
              <a16:creationId xmlns:a16="http://schemas.microsoft.com/office/drawing/2014/main" id="{D223341D-017E-42F3-8705-6D0B765567E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0521" r="2648" b="4876"/>
        <a:stretch>
          <a:fillRect/>
        </a:stretch>
      </xdr:blipFill>
      <xdr:spPr>
        <a:xfrm>
          <a:off x="28570238" y="15121750"/>
          <a:ext cx="3692761" cy="2468544"/>
        </a:xfrm>
        <a:prstGeom prst="rect">
          <a:avLst/>
        </a:prstGeom>
      </xdr:spPr>
    </xdr:pic>
    <xdr:clientData/>
  </xdr:twoCellAnchor>
  <xdr:twoCellAnchor editAs="oneCell">
    <xdr:from>
      <xdr:col>25</xdr:col>
      <xdr:colOff>357188</xdr:colOff>
      <xdr:row>55</xdr:row>
      <xdr:rowOff>2428875</xdr:rowOff>
    </xdr:from>
    <xdr:to>
      <xdr:col>27</xdr:col>
      <xdr:colOff>610005</xdr:colOff>
      <xdr:row>55</xdr:row>
      <xdr:rowOff>4485482</xdr:rowOff>
    </xdr:to>
    <xdr:pic>
      <xdr:nvPicPr>
        <xdr:cNvPr id="9" name="Imagen 8">
          <a:extLst>
            <a:ext uri="{FF2B5EF4-FFF2-40B4-BE49-F238E27FC236}">
              <a16:creationId xmlns:a16="http://schemas.microsoft.com/office/drawing/2014/main" id="{4490AE18-1805-48BA-BD84-73762FB6366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16321" t="18170" r="14235" b="6922"/>
        <a:stretch>
          <a:fillRect/>
        </a:stretch>
      </xdr:blipFill>
      <xdr:spPr>
        <a:xfrm>
          <a:off x="26312813" y="17125950"/>
          <a:ext cx="1757767" cy="2056607"/>
        </a:xfrm>
        <a:prstGeom prst="rect">
          <a:avLst/>
        </a:prstGeom>
      </xdr:spPr>
    </xdr:pic>
    <xdr:clientData/>
  </xdr:twoCellAnchor>
  <xdr:twoCellAnchor editAs="oneCell">
    <xdr:from>
      <xdr:col>9</xdr:col>
      <xdr:colOff>0</xdr:colOff>
      <xdr:row>55</xdr:row>
      <xdr:rowOff>0</xdr:rowOff>
    </xdr:from>
    <xdr:to>
      <xdr:col>9</xdr:col>
      <xdr:colOff>304800</xdr:colOff>
      <xdr:row>55</xdr:row>
      <xdr:rowOff>304800</xdr:rowOff>
    </xdr:to>
    <xdr:sp macro="" textlink="">
      <xdr:nvSpPr>
        <xdr:cNvPr id="10" name="AutoShape 1">
          <a:extLst>
            <a:ext uri="{FF2B5EF4-FFF2-40B4-BE49-F238E27FC236}">
              <a16:creationId xmlns:a16="http://schemas.microsoft.com/office/drawing/2014/main" id="{CBB80FD4-4AE4-474E-B74E-E241A5526C01}"/>
            </a:ext>
          </a:extLst>
        </xdr:cNvPr>
        <xdr:cNvSpPr>
          <a:spLocks noChangeAspect="1" noChangeArrowheads="1"/>
        </xdr:cNvSpPr>
      </xdr:nvSpPr>
      <xdr:spPr bwMode="auto">
        <a:xfrm>
          <a:off x="12144375" y="1469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50</xdr:row>
      <xdr:rowOff>0</xdr:rowOff>
    </xdr:from>
    <xdr:to>
      <xdr:col>9</xdr:col>
      <xdr:colOff>304800</xdr:colOff>
      <xdr:row>50</xdr:row>
      <xdr:rowOff>301625</xdr:rowOff>
    </xdr:to>
    <xdr:sp macro="" textlink="">
      <xdr:nvSpPr>
        <xdr:cNvPr id="11" name="AutoShape 1">
          <a:extLst>
            <a:ext uri="{FF2B5EF4-FFF2-40B4-BE49-F238E27FC236}">
              <a16:creationId xmlns:a16="http://schemas.microsoft.com/office/drawing/2014/main" id="{C60070E6-8536-475B-8494-5E60C5699964}"/>
            </a:ext>
          </a:extLst>
        </xdr:cNvPr>
        <xdr:cNvSpPr>
          <a:spLocks noChangeAspect="1" noChangeArrowheads="1"/>
        </xdr:cNvSpPr>
      </xdr:nvSpPr>
      <xdr:spPr bwMode="auto">
        <a:xfrm>
          <a:off x="1214437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50</xdr:row>
      <xdr:rowOff>0</xdr:rowOff>
    </xdr:from>
    <xdr:to>
      <xdr:col>11</xdr:col>
      <xdr:colOff>304800</xdr:colOff>
      <xdr:row>50</xdr:row>
      <xdr:rowOff>301625</xdr:rowOff>
    </xdr:to>
    <xdr:sp macro="" textlink="">
      <xdr:nvSpPr>
        <xdr:cNvPr id="12" name="AutoShape 2">
          <a:extLst>
            <a:ext uri="{FF2B5EF4-FFF2-40B4-BE49-F238E27FC236}">
              <a16:creationId xmlns:a16="http://schemas.microsoft.com/office/drawing/2014/main" id="{B730D059-8038-4898-924C-118DC022ACA4}"/>
            </a:ext>
          </a:extLst>
        </xdr:cNvPr>
        <xdr:cNvSpPr>
          <a:spLocks noChangeAspect="1" noChangeArrowheads="1"/>
        </xdr:cNvSpPr>
      </xdr:nvSpPr>
      <xdr:spPr bwMode="auto">
        <a:xfrm>
          <a:off x="1456372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459442</xdr:colOff>
      <xdr:row>56</xdr:row>
      <xdr:rowOff>235323</xdr:rowOff>
    </xdr:from>
    <xdr:to>
      <xdr:col>10</xdr:col>
      <xdr:colOff>717178</xdr:colOff>
      <xdr:row>56</xdr:row>
      <xdr:rowOff>885263</xdr:rowOff>
    </xdr:to>
    <xdr:cxnSp macro="">
      <xdr:nvCxnSpPr>
        <xdr:cNvPr id="13" name="Conector recto de flecha 12">
          <a:extLst>
            <a:ext uri="{FF2B5EF4-FFF2-40B4-BE49-F238E27FC236}">
              <a16:creationId xmlns:a16="http://schemas.microsoft.com/office/drawing/2014/main" id="{87A8A9E9-CB95-47C6-834B-C83F8BBA6775}"/>
            </a:ext>
          </a:extLst>
        </xdr:cNvPr>
        <xdr:cNvCxnSpPr/>
      </xdr:nvCxnSpPr>
      <xdr:spPr>
        <a:xfrm flipH="1" flipV="1">
          <a:off x="13765867" y="19866348"/>
          <a:ext cx="257736" cy="28799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661147</xdr:colOff>
      <xdr:row>55</xdr:row>
      <xdr:rowOff>1860177</xdr:rowOff>
    </xdr:from>
    <xdr:ext cx="1030941" cy="291039"/>
    <xdr:sp macro="" textlink="">
      <xdr:nvSpPr>
        <xdr:cNvPr id="14" name="CuadroTexto 13">
          <a:extLst>
            <a:ext uri="{FF2B5EF4-FFF2-40B4-BE49-F238E27FC236}">
              <a16:creationId xmlns:a16="http://schemas.microsoft.com/office/drawing/2014/main" id="{F71A0C35-6C56-468B-B382-243F21B94822}"/>
            </a:ext>
          </a:extLst>
        </xdr:cNvPr>
        <xdr:cNvSpPr txBox="1"/>
      </xdr:nvSpPr>
      <xdr:spPr>
        <a:xfrm>
          <a:off x="2870947" y="16557252"/>
          <a:ext cx="1030941"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EQUIPO</a:t>
          </a:r>
          <a:r>
            <a:rPr lang="es-MX" sz="1100" baseline="0">
              <a:effectLst/>
            </a:rPr>
            <a:t> BASE</a:t>
          </a:r>
          <a:endParaRPr lang="es-MX" sz="1100">
            <a:effectLst/>
          </a:endParaRPr>
        </a:p>
        <a:p>
          <a:pPr algn="ctr"/>
          <a:endParaRPr lang="es-PA" sz="1100"/>
        </a:p>
        <a:p>
          <a:endParaRPr lang="es-PA" sz="1100"/>
        </a:p>
      </xdr:txBody>
    </xdr:sp>
    <xdr:clientData/>
  </xdr:oneCellAnchor>
  <xdr:oneCellAnchor>
    <xdr:from>
      <xdr:col>7</xdr:col>
      <xdr:colOff>268940</xdr:colOff>
      <xdr:row>55</xdr:row>
      <xdr:rowOff>4232410</xdr:rowOff>
    </xdr:from>
    <xdr:ext cx="896472" cy="261149"/>
    <xdr:sp macro="" textlink="">
      <xdr:nvSpPr>
        <xdr:cNvPr id="15" name="CuadroTexto 14">
          <a:extLst>
            <a:ext uri="{FF2B5EF4-FFF2-40B4-BE49-F238E27FC236}">
              <a16:creationId xmlns:a16="http://schemas.microsoft.com/office/drawing/2014/main" id="{5E5BE40B-E5D1-4D24-B56B-B575598D7D32}"/>
            </a:ext>
          </a:extLst>
        </xdr:cNvPr>
        <xdr:cNvSpPr txBox="1"/>
      </xdr:nvSpPr>
      <xdr:spPr>
        <a:xfrm>
          <a:off x="9784415" y="18929485"/>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3</xdr:col>
      <xdr:colOff>239523</xdr:colOff>
      <xdr:row>55</xdr:row>
      <xdr:rowOff>3148853</xdr:rowOff>
    </xdr:from>
    <xdr:ext cx="1093976" cy="268940"/>
    <xdr:sp macro="" textlink="">
      <xdr:nvSpPr>
        <xdr:cNvPr id="16" name="CuadroTexto 15">
          <a:extLst>
            <a:ext uri="{FF2B5EF4-FFF2-40B4-BE49-F238E27FC236}">
              <a16:creationId xmlns:a16="http://schemas.microsoft.com/office/drawing/2014/main" id="{E820C0D2-595F-481C-BA00-9CDCEC3213FA}"/>
            </a:ext>
          </a:extLst>
        </xdr:cNvPr>
        <xdr:cNvSpPr txBox="1"/>
      </xdr:nvSpPr>
      <xdr:spPr>
        <a:xfrm>
          <a:off x="4554348" y="17845928"/>
          <a:ext cx="1093976" cy="268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000" b="1">
              <a:effectLst/>
            </a:rPr>
            <a:t>AREA</a:t>
          </a:r>
          <a:r>
            <a:rPr lang="es-MX" sz="1000" b="1" baseline="0">
              <a:effectLst/>
            </a:rPr>
            <a:t> COTIZADA</a:t>
          </a:r>
          <a:endParaRPr lang="es-MX" sz="1000" b="1">
            <a:effectLst/>
          </a:endParaRPr>
        </a:p>
        <a:p>
          <a:pPr algn="ctr"/>
          <a:endParaRPr lang="es-PA" sz="1100"/>
        </a:p>
        <a:p>
          <a:endParaRPr lang="es-PA" sz="1100"/>
        </a:p>
      </xdr:txBody>
    </xdr:sp>
    <xdr:clientData/>
  </xdr:oneCellAnchor>
  <xdr:oneCellAnchor>
    <xdr:from>
      <xdr:col>6</xdr:col>
      <xdr:colOff>1013012</xdr:colOff>
      <xdr:row>55</xdr:row>
      <xdr:rowOff>1348119</xdr:rowOff>
    </xdr:from>
    <xdr:ext cx="1650073" cy="243117"/>
    <xdr:sp macro="" textlink="">
      <xdr:nvSpPr>
        <xdr:cNvPr id="17" name="CuadroTexto 16">
          <a:extLst>
            <a:ext uri="{FF2B5EF4-FFF2-40B4-BE49-F238E27FC236}">
              <a16:creationId xmlns:a16="http://schemas.microsoft.com/office/drawing/2014/main" id="{005ABCA3-B571-4CD5-A1BF-01F9A97DECDE}"/>
            </a:ext>
          </a:extLst>
        </xdr:cNvPr>
        <xdr:cNvSpPr txBox="1"/>
      </xdr:nvSpPr>
      <xdr:spPr>
        <a:xfrm>
          <a:off x="9080687" y="16045194"/>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746878</xdr:colOff>
      <xdr:row>55</xdr:row>
      <xdr:rowOff>593377</xdr:rowOff>
    </xdr:from>
    <xdr:to>
      <xdr:col>5</xdr:col>
      <xdr:colOff>123265</xdr:colOff>
      <xdr:row>55</xdr:row>
      <xdr:rowOff>773206</xdr:rowOff>
    </xdr:to>
    <xdr:cxnSp macro="">
      <xdr:nvCxnSpPr>
        <xdr:cNvPr id="18" name="Conector recto de flecha 17">
          <a:extLst>
            <a:ext uri="{FF2B5EF4-FFF2-40B4-BE49-F238E27FC236}">
              <a16:creationId xmlns:a16="http://schemas.microsoft.com/office/drawing/2014/main" id="{3D5522FF-EA2E-415F-8479-289B4B79219F}"/>
            </a:ext>
          </a:extLst>
        </xdr:cNvPr>
        <xdr:cNvCxnSpPr>
          <a:stCxn id="20" idx="3"/>
        </xdr:cNvCxnSpPr>
      </xdr:nvCxnSpPr>
      <xdr:spPr>
        <a:xfrm>
          <a:off x="6128503" y="15290452"/>
          <a:ext cx="443187"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324972</xdr:colOff>
      <xdr:row>55</xdr:row>
      <xdr:rowOff>705970</xdr:rowOff>
    </xdr:from>
    <xdr:to>
      <xdr:col>7</xdr:col>
      <xdr:colOff>392490</xdr:colOff>
      <xdr:row>55</xdr:row>
      <xdr:rowOff>1348119</xdr:rowOff>
    </xdr:to>
    <xdr:cxnSp macro="">
      <xdr:nvCxnSpPr>
        <xdr:cNvPr id="19" name="Conector recto de flecha 18">
          <a:extLst>
            <a:ext uri="{FF2B5EF4-FFF2-40B4-BE49-F238E27FC236}">
              <a16:creationId xmlns:a16="http://schemas.microsoft.com/office/drawing/2014/main" id="{D1D67B26-DFF1-45D3-88F4-76FCEE0E898F}"/>
            </a:ext>
          </a:extLst>
        </xdr:cNvPr>
        <xdr:cNvCxnSpPr>
          <a:stCxn id="17" idx="0"/>
        </xdr:cNvCxnSpPr>
      </xdr:nvCxnSpPr>
      <xdr:spPr>
        <a:xfrm flipH="1" flipV="1">
          <a:off x="8392647" y="15403045"/>
          <a:ext cx="1515318" cy="6421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717176</xdr:colOff>
      <xdr:row>55</xdr:row>
      <xdr:rowOff>346312</xdr:rowOff>
    </xdr:from>
    <xdr:ext cx="1094261" cy="494129"/>
    <xdr:sp macro="" textlink="">
      <xdr:nvSpPr>
        <xdr:cNvPr id="20" name="CuadroTexto 19">
          <a:extLst>
            <a:ext uri="{FF2B5EF4-FFF2-40B4-BE49-F238E27FC236}">
              <a16:creationId xmlns:a16="http://schemas.microsoft.com/office/drawing/2014/main" id="{9E9BEB97-EDB4-499E-B784-35454E48C08D}"/>
            </a:ext>
          </a:extLst>
        </xdr:cNvPr>
        <xdr:cNvSpPr txBox="1"/>
      </xdr:nvSpPr>
      <xdr:spPr>
        <a:xfrm>
          <a:off x="5032001" y="15043387"/>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437029</xdr:colOff>
      <xdr:row>56</xdr:row>
      <xdr:rowOff>145677</xdr:rowOff>
    </xdr:from>
    <xdr:ext cx="2860309" cy="291039"/>
    <xdr:sp macro="" textlink="">
      <xdr:nvSpPr>
        <xdr:cNvPr id="21" name="CuadroTexto 20">
          <a:extLst>
            <a:ext uri="{FF2B5EF4-FFF2-40B4-BE49-F238E27FC236}">
              <a16:creationId xmlns:a16="http://schemas.microsoft.com/office/drawing/2014/main" id="{239E1B7D-D860-4BBE-ACBC-89545D9E7742}"/>
            </a:ext>
          </a:extLst>
        </xdr:cNvPr>
        <xdr:cNvSpPr txBox="1"/>
      </xdr:nvSpPr>
      <xdr:spPr>
        <a:xfrm>
          <a:off x="437029" y="19776702"/>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6</xdr:col>
      <xdr:colOff>457560</xdr:colOff>
      <xdr:row>55</xdr:row>
      <xdr:rowOff>2342029</xdr:rowOff>
    </xdr:from>
    <xdr:to>
      <xdr:col>7</xdr:col>
      <xdr:colOff>1378323</xdr:colOff>
      <xdr:row>55</xdr:row>
      <xdr:rowOff>4076237</xdr:rowOff>
    </xdr:to>
    <xdr:pic>
      <xdr:nvPicPr>
        <xdr:cNvPr id="22" name="Imagen 21">
          <a:extLst>
            <a:ext uri="{FF2B5EF4-FFF2-40B4-BE49-F238E27FC236}">
              <a16:creationId xmlns:a16="http://schemas.microsoft.com/office/drawing/2014/main" id="{815CEB20-7E40-415B-8030-3D1FD0FE9BAC}"/>
            </a:ext>
          </a:extLst>
        </xdr:cNvPr>
        <xdr:cNvPicPr>
          <a:picLocks noChangeAspect="1"/>
        </xdr:cNvPicPr>
      </xdr:nvPicPr>
      <xdr:blipFill rotWithShape="1">
        <a:blip xmlns:r="http://schemas.openxmlformats.org/officeDocument/2006/relationships" r:embed="rId9"/>
        <a:srcRect l="6049" t="8786"/>
        <a:stretch/>
      </xdr:blipFill>
      <xdr:spPr>
        <a:xfrm>
          <a:off x="8525235" y="17039104"/>
          <a:ext cx="2368563" cy="1734208"/>
        </a:xfrm>
        <a:prstGeom prst="rect">
          <a:avLst/>
        </a:prstGeom>
      </xdr:spPr>
    </xdr:pic>
    <xdr:clientData/>
  </xdr:twoCellAnchor>
  <xdr:twoCellAnchor editAs="oneCell">
    <xdr:from>
      <xdr:col>0</xdr:col>
      <xdr:colOff>67237</xdr:colOff>
      <xdr:row>55</xdr:row>
      <xdr:rowOff>2364441</xdr:rowOff>
    </xdr:from>
    <xdr:to>
      <xdr:col>2</xdr:col>
      <xdr:colOff>1626762</xdr:colOff>
      <xdr:row>56</xdr:row>
      <xdr:rowOff>89647</xdr:rowOff>
    </xdr:to>
    <xdr:pic>
      <xdr:nvPicPr>
        <xdr:cNvPr id="23" name="Imagen 22">
          <a:extLst>
            <a:ext uri="{FF2B5EF4-FFF2-40B4-BE49-F238E27FC236}">
              <a16:creationId xmlns:a16="http://schemas.microsoft.com/office/drawing/2014/main" id="{35281B1F-49E1-48A7-BB25-836774066954}"/>
            </a:ext>
          </a:extLst>
        </xdr:cNvPr>
        <xdr:cNvPicPr>
          <a:picLocks noChangeAspect="1"/>
        </xdr:cNvPicPr>
      </xdr:nvPicPr>
      <xdr:blipFill rotWithShape="1">
        <a:blip xmlns:r="http://schemas.openxmlformats.org/officeDocument/2006/relationships" r:embed="rId10"/>
        <a:srcRect l="3964" t="13207" r="891" b="2149"/>
        <a:stretch/>
      </xdr:blipFill>
      <xdr:spPr>
        <a:xfrm>
          <a:off x="67237" y="17061516"/>
          <a:ext cx="3769325" cy="2659156"/>
        </a:xfrm>
        <a:prstGeom prst="rect">
          <a:avLst/>
        </a:prstGeom>
      </xdr:spPr>
    </xdr:pic>
    <xdr:clientData/>
  </xdr:twoCellAnchor>
  <xdr:twoCellAnchor editAs="oneCell">
    <xdr:from>
      <xdr:col>6</xdr:col>
      <xdr:colOff>459441</xdr:colOff>
      <xdr:row>0</xdr:row>
      <xdr:rowOff>89647</xdr:rowOff>
    </xdr:from>
    <xdr:to>
      <xdr:col>7</xdr:col>
      <xdr:colOff>851649</xdr:colOff>
      <xdr:row>0</xdr:row>
      <xdr:rowOff>1499116</xdr:rowOff>
    </xdr:to>
    <xdr:pic>
      <xdr:nvPicPr>
        <xdr:cNvPr id="24" name="Imagen 23">
          <a:extLst>
            <a:ext uri="{FF2B5EF4-FFF2-40B4-BE49-F238E27FC236}">
              <a16:creationId xmlns:a16="http://schemas.microsoft.com/office/drawing/2014/main" id="{FB13F968-E067-4A18-BFB7-A714189EE1BF}"/>
            </a:ext>
          </a:extLst>
        </xdr:cNvPr>
        <xdr:cNvPicPr>
          <a:picLocks noChangeAspect="1"/>
        </xdr:cNvPicPr>
      </xdr:nvPicPr>
      <xdr:blipFill rotWithShape="1">
        <a:blip xmlns:r="http://schemas.openxmlformats.org/officeDocument/2006/relationships" r:embed="rId11"/>
        <a:srcRect t="4420" r="5369"/>
        <a:stretch/>
      </xdr:blipFill>
      <xdr:spPr>
        <a:xfrm>
          <a:off x="8527116" y="89647"/>
          <a:ext cx="1840008" cy="14094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717176</xdr:colOff>
      <xdr:row>55</xdr:row>
      <xdr:rowOff>178695</xdr:rowOff>
    </xdr:from>
    <xdr:to>
      <xdr:col>7</xdr:col>
      <xdr:colOff>1389530</xdr:colOff>
      <xdr:row>55</xdr:row>
      <xdr:rowOff>1178509</xdr:rowOff>
    </xdr:to>
    <xdr:pic>
      <xdr:nvPicPr>
        <xdr:cNvPr id="2" name="Imagen 1">
          <a:extLst>
            <a:ext uri="{FF2B5EF4-FFF2-40B4-BE49-F238E27FC236}">
              <a16:creationId xmlns:a16="http://schemas.microsoft.com/office/drawing/2014/main" id="{A5D12B43-2674-46B8-9114-72AB84503FB5}"/>
            </a:ext>
          </a:extLst>
        </xdr:cNvPr>
        <xdr:cNvPicPr>
          <a:picLocks noChangeAspect="1"/>
        </xdr:cNvPicPr>
      </xdr:nvPicPr>
      <xdr:blipFill>
        <a:blip xmlns:r="http://schemas.openxmlformats.org/officeDocument/2006/relationships" r:embed="rId1"/>
        <a:stretch>
          <a:fillRect/>
        </a:stretch>
      </xdr:blipFill>
      <xdr:spPr>
        <a:xfrm>
          <a:off x="6098801" y="14875770"/>
          <a:ext cx="4806204" cy="999814"/>
        </a:xfrm>
        <a:prstGeom prst="rect">
          <a:avLst/>
        </a:prstGeom>
      </xdr:spPr>
    </xdr:pic>
    <xdr:clientData/>
  </xdr:twoCellAnchor>
  <xdr:twoCellAnchor editAs="oneCell">
    <xdr:from>
      <xdr:col>0</xdr:col>
      <xdr:colOff>112058</xdr:colOff>
      <xdr:row>55</xdr:row>
      <xdr:rowOff>77412</xdr:rowOff>
    </xdr:from>
    <xdr:to>
      <xdr:col>2</xdr:col>
      <xdr:colOff>2095500</xdr:colOff>
      <xdr:row>55</xdr:row>
      <xdr:rowOff>2308410</xdr:rowOff>
    </xdr:to>
    <xdr:pic>
      <xdr:nvPicPr>
        <xdr:cNvPr id="3" name="Imagen 2">
          <a:extLst>
            <a:ext uri="{FF2B5EF4-FFF2-40B4-BE49-F238E27FC236}">
              <a16:creationId xmlns:a16="http://schemas.microsoft.com/office/drawing/2014/main" id="{F0947390-D452-4406-910E-F23B60986314}"/>
            </a:ext>
          </a:extLst>
        </xdr:cNvPr>
        <xdr:cNvPicPr>
          <a:picLocks noChangeAspect="1"/>
        </xdr:cNvPicPr>
      </xdr:nvPicPr>
      <xdr:blipFill rotWithShape="1">
        <a:blip xmlns:r="http://schemas.openxmlformats.org/officeDocument/2006/relationships" r:embed="rId2"/>
        <a:srcRect l="4422" t="16538" r="736" b="-178"/>
        <a:stretch/>
      </xdr:blipFill>
      <xdr:spPr>
        <a:xfrm>
          <a:off x="112058" y="14774487"/>
          <a:ext cx="4193242" cy="2230998"/>
        </a:xfrm>
        <a:prstGeom prst="rect">
          <a:avLst/>
        </a:prstGeom>
      </xdr:spPr>
    </xdr:pic>
    <xdr:clientData/>
  </xdr:twoCellAnchor>
  <xdr:twoCellAnchor editAs="oneCell">
    <xdr:from>
      <xdr:col>2</xdr:col>
      <xdr:colOff>1770529</xdr:colOff>
      <xdr:row>55</xdr:row>
      <xdr:rowOff>1725705</xdr:rowOff>
    </xdr:from>
    <xdr:to>
      <xdr:col>6</xdr:col>
      <xdr:colOff>348645</xdr:colOff>
      <xdr:row>55</xdr:row>
      <xdr:rowOff>4789240</xdr:rowOff>
    </xdr:to>
    <xdr:pic>
      <xdr:nvPicPr>
        <xdr:cNvPr id="4" name="Imagen 3">
          <a:extLst>
            <a:ext uri="{FF2B5EF4-FFF2-40B4-BE49-F238E27FC236}">
              <a16:creationId xmlns:a16="http://schemas.microsoft.com/office/drawing/2014/main" id="{7CAE3D77-3E96-4354-BA06-590151A864B7}"/>
            </a:ext>
          </a:extLst>
        </xdr:cNvPr>
        <xdr:cNvPicPr>
          <a:picLocks noChangeAspect="1"/>
        </xdr:cNvPicPr>
      </xdr:nvPicPr>
      <xdr:blipFill>
        <a:blip xmlns:r="http://schemas.openxmlformats.org/officeDocument/2006/relationships" r:embed="rId3"/>
        <a:stretch>
          <a:fillRect/>
        </a:stretch>
      </xdr:blipFill>
      <xdr:spPr>
        <a:xfrm>
          <a:off x="3980329" y="16422780"/>
          <a:ext cx="4435991" cy="3063535"/>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5" name="Imagen 4" descr="logo-01.jpg">
          <a:extLst>
            <a:ext uri="{FF2B5EF4-FFF2-40B4-BE49-F238E27FC236}">
              <a16:creationId xmlns:a16="http://schemas.microsoft.com/office/drawing/2014/main" id="{DDFA509F-7C79-43BE-B042-A32F84DAE6A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85</xdr:row>
      <xdr:rowOff>66260</xdr:rowOff>
    </xdr:from>
    <xdr:to>
      <xdr:col>7</xdr:col>
      <xdr:colOff>1257836</xdr:colOff>
      <xdr:row>85</xdr:row>
      <xdr:rowOff>808463</xdr:rowOff>
    </xdr:to>
    <xdr:pic>
      <xdr:nvPicPr>
        <xdr:cNvPr id="6" name="Imagen 5" descr="Imagen de WhatsApp 2023-03-09 a las 17.44.48">
          <a:extLst>
            <a:ext uri="{FF2B5EF4-FFF2-40B4-BE49-F238E27FC236}">
              <a16:creationId xmlns:a16="http://schemas.microsoft.com/office/drawing/2014/main" id="{F04EE296-4B41-4186-A8D2-6E6B1A6460C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9606893" y="2695533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86</xdr:row>
      <xdr:rowOff>47625</xdr:rowOff>
    </xdr:from>
    <xdr:to>
      <xdr:col>7</xdr:col>
      <xdr:colOff>828675</xdr:colOff>
      <xdr:row>86</xdr:row>
      <xdr:rowOff>647700</xdr:rowOff>
    </xdr:to>
    <xdr:pic>
      <xdr:nvPicPr>
        <xdr:cNvPr id="7" name="Imagen 10">
          <a:extLst>
            <a:ext uri="{FF2B5EF4-FFF2-40B4-BE49-F238E27FC236}">
              <a16:creationId xmlns:a16="http://schemas.microsoft.com/office/drawing/2014/main" id="{E9E91755-F79D-49AE-BE12-57E5352DEFA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996" t="46437" r="77777" b="29472"/>
        <a:stretch>
          <a:fillRect/>
        </a:stretch>
      </xdr:blipFill>
      <xdr:spPr>
        <a:xfrm>
          <a:off x="9772650" y="2778442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55</xdr:row>
      <xdr:rowOff>424675</xdr:rowOff>
    </xdr:from>
    <xdr:to>
      <xdr:col>33</xdr:col>
      <xdr:colOff>287574</xdr:colOff>
      <xdr:row>55</xdr:row>
      <xdr:rowOff>2893219</xdr:rowOff>
    </xdr:to>
    <xdr:pic>
      <xdr:nvPicPr>
        <xdr:cNvPr id="8" name="Imagen 7">
          <a:extLst>
            <a:ext uri="{FF2B5EF4-FFF2-40B4-BE49-F238E27FC236}">
              <a16:creationId xmlns:a16="http://schemas.microsoft.com/office/drawing/2014/main" id="{B7E7C5AF-0E94-452A-898D-C1ABCC97E95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0521" r="2648" b="4876"/>
        <a:stretch>
          <a:fillRect/>
        </a:stretch>
      </xdr:blipFill>
      <xdr:spPr>
        <a:xfrm>
          <a:off x="28570238" y="15121750"/>
          <a:ext cx="3692761" cy="2468544"/>
        </a:xfrm>
        <a:prstGeom prst="rect">
          <a:avLst/>
        </a:prstGeom>
      </xdr:spPr>
    </xdr:pic>
    <xdr:clientData/>
  </xdr:twoCellAnchor>
  <xdr:twoCellAnchor editAs="oneCell">
    <xdr:from>
      <xdr:col>25</xdr:col>
      <xdr:colOff>357188</xdr:colOff>
      <xdr:row>55</xdr:row>
      <xdr:rowOff>2428875</xdr:rowOff>
    </xdr:from>
    <xdr:to>
      <xdr:col>27</xdr:col>
      <xdr:colOff>610005</xdr:colOff>
      <xdr:row>55</xdr:row>
      <xdr:rowOff>4485482</xdr:rowOff>
    </xdr:to>
    <xdr:pic>
      <xdr:nvPicPr>
        <xdr:cNvPr id="9" name="Imagen 8">
          <a:extLst>
            <a:ext uri="{FF2B5EF4-FFF2-40B4-BE49-F238E27FC236}">
              <a16:creationId xmlns:a16="http://schemas.microsoft.com/office/drawing/2014/main" id="{195146E3-882D-4035-AC53-49CB5849FA2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16321" t="18170" r="14235" b="6922"/>
        <a:stretch>
          <a:fillRect/>
        </a:stretch>
      </xdr:blipFill>
      <xdr:spPr>
        <a:xfrm>
          <a:off x="26312813" y="17125950"/>
          <a:ext cx="1757767" cy="2056607"/>
        </a:xfrm>
        <a:prstGeom prst="rect">
          <a:avLst/>
        </a:prstGeom>
      </xdr:spPr>
    </xdr:pic>
    <xdr:clientData/>
  </xdr:twoCellAnchor>
  <xdr:twoCellAnchor editAs="oneCell">
    <xdr:from>
      <xdr:col>9</xdr:col>
      <xdr:colOff>0</xdr:colOff>
      <xdr:row>55</xdr:row>
      <xdr:rowOff>0</xdr:rowOff>
    </xdr:from>
    <xdr:to>
      <xdr:col>9</xdr:col>
      <xdr:colOff>304800</xdr:colOff>
      <xdr:row>55</xdr:row>
      <xdr:rowOff>304800</xdr:rowOff>
    </xdr:to>
    <xdr:sp macro="" textlink="">
      <xdr:nvSpPr>
        <xdr:cNvPr id="10" name="AutoShape 1">
          <a:extLst>
            <a:ext uri="{FF2B5EF4-FFF2-40B4-BE49-F238E27FC236}">
              <a16:creationId xmlns:a16="http://schemas.microsoft.com/office/drawing/2014/main" id="{399F6135-9963-4B58-AB90-84140ED726BD}"/>
            </a:ext>
          </a:extLst>
        </xdr:cNvPr>
        <xdr:cNvSpPr>
          <a:spLocks noChangeAspect="1" noChangeArrowheads="1"/>
        </xdr:cNvSpPr>
      </xdr:nvSpPr>
      <xdr:spPr bwMode="auto">
        <a:xfrm>
          <a:off x="12144375" y="1469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50</xdr:row>
      <xdr:rowOff>0</xdr:rowOff>
    </xdr:from>
    <xdr:to>
      <xdr:col>9</xdr:col>
      <xdr:colOff>304800</xdr:colOff>
      <xdr:row>50</xdr:row>
      <xdr:rowOff>301625</xdr:rowOff>
    </xdr:to>
    <xdr:sp macro="" textlink="">
      <xdr:nvSpPr>
        <xdr:cNvPr id="11" name="AutoShape 1">
          <a:extLst>
            <a:ext uri="{FF2B5EF4-FFF2-40B4-BE49-F238E27FC236}">
              <a16:creationId xmlns:a16="http://schemas.microsoft.com/office/drawing/2014/main" id="{AB174AFB-3033-4ADD-9997-FF2147E53877}"/>
            </a:ext>
          </a:extLst>
        </xdr:cNvPr>
        <xdr:cNvSpPr>
          <a:spLocks noChangeAspect="1" noChangeArrowheads="1"/>
        </xdr:cNvSpPr>
      </xdr:nvSpPr>
      <xdr:spPr bwMode="auto">
        <a:xfrm>
          <a:off x="1214437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50</xdr:row>
      <xdr:rowOff>0</xdr:rowOff>
    </xdr:from>
    <xdr:to>
      <xdr:col>11</xdr:col>
      <xdr:colOff>304800</xdr:colOff>
      <xdr:row>50</xdr:row>
      <xdr:rowOff>301625</xdr:rowOff>
    </xdr:to>
    <xdr:sp macro="" textlink="">
      <xdr:nvSpPr>
        <xdr:cNvPr id="12" name="AutoShape 2">
          <a:extLst>
            <a:ext uri="{FF2B5EF4-FFF2-40B4-BE49-F238E27FC236}">
              <a16:creationId xmlns:a16="http://schemas.microsoft.com/office/drawing/2014/main" id="{18B9653F-5F19-4D10-ACCD-0868F32E7516}"/>
            </a:ext>
          </a:extLst>
        </xdr:cNvPr>
        <xdr:cNvSpPr>
          <a:spLocks noChangeAspect="1" noChangeArrowheads="1"/>
        </xdr:cNvSpPr>
      </xdr:nvSpPr>
      <xdr:spPr bwMode="auto">
        <a:xfrm>
          <a:off x="14563725" y="13115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459442</xdr:colOff>
      <xdr:row>56</xdr:row>
      <xdr:rowOff>235323</xdr:rowOff>
    </xdr:from>
    <xdr:to>
      <xdr:col>10</xdr:col>
      <xdr:colOff>717178</xdr:colOff>
      <xdr:row>56</xdr:row>
      <xdr:rowOff>885263</xdr:rowOff>
    </xdr:to>
    <xdr:cxnSp macro="">
      <xdr:nvCxnSpPr>
        <xdr:cNvPr id="13" name="Conector recto de flecha 12">
          <a:extLst>
            <a:ext uri="{FF2B5EF4-FFF2-40B4-BE49-F238E27FC236}">
              <a16:creationId xmlns:a16="http://schemas.microsoft.com/office/drawing/2014/main" id="{AFEE2109-147A-4D11-B124-F6750E7B71FE}"/>
            </a:ext>
          </a:extLst>
        </xdr:cNvPr>
        <xdr:cNvCxnSpPr/>
      </xdr:nvCxnSpPr>
      <xdr:spPr>
        <a:xfrm flipH="1" flipV="1">
          <a:off x="13765867" y="19866348"/>
          <a:ext cx="257736" cy="28799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661147</xdr:colOff>
      <xdr:row>55</xdr:row>
      <xdr:rowOff>1860177</xdr:rowOff>
    </xdr:from>
    <xdr:ext cx="1030941" cy="291039"/>
    <xdr:sp macro="" textlink="">
      <xdr:nvSpPr>
        <xdr:cNvPr id="14" name="CuadroTexto 13">
          <a:extLst>
            <a:ext uri="{FF2B5EF4-FFF2-40B4-BE49-F238E27FC236}">
              <a16:creationId xmlns:a16="http://schemas.microsoft.com/office/drawing/2014/main" id="{8683F3F4-55E2-4EA3-961F-C666B5208026}"/>
            </a:ext>
          </a:extLst>
        </xdr:cNvPr>
        <xdr:cNvSpPr txBox="1"/>
      </xdr:nvSpPr>
      <xdr:spPr>
        <a:xfrm>
          <a:off x="2870947" y="16557252"/>
          <a:ext cx="1030941"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EQUIPO</a:t>
          </a:r>
          <a:r>
            <a:rPr lang="es-MX" sz="1100" baseline="0">
              <a:effectLst/>
            </a:rPr>
            <a:t> BASE</a:t>
          </a:r>
          <a:endParaRPr lang="es-MX" sz="1100">
            <a:effectLst/>
          </a:endParaRPr>
        </a:p>
        <a:p>
          <a:pPr algn="ctr"/>
          <a:endParaRPr lang="es-PA" sz="1100"/>
        </a:p>
        <a:p>
          <a:endParaRPr lang="es-PA" sz="1100"/>
        </a:p>
      </xdr:txBody>
    </xdr:sp>
    <xdr:clientData/>
  </xdr:oneCellAnchor>
  <xdr:oneCellAnchor>
    <xdr:from>
      <xdr:col>7</xdr:col>
      <xdr:colOff>268940</xdr:colOff>
      <xdr:row>55</xdr:row>
      <xdr:rowOff>4232410</xdr:rowOff>
    </xdr:from>
    <xdr:ext cx="896472" cy="261149"/>
    <xdr:sp macro="" textlink="">
      <xdr:nvSpPr>
        <xdr:cNvPr id="15" name="CuadroTexto 14">
          <a:extLst>
            <a:ext uri="{FF2B5EF4-FFF2-40B4-BE49-F238E27FC236}">
              <a16:creationId xmlns:a16="http://schemas.microsoft.com/office/drawing/2014/main" id="{92CFF3F0-7239-4BDE-955A-A940DFE0CF73}"/>
            </a:ext>
          </a:extLst>
        </xdr:cNvPr>
        <xdr:cNvSpPr txBox="1"/>
      </xdr:nvSpPr>
      <xdr:spPr>
        <a:xfrm>
          <a:off x="9784415" y="18929485"/>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3</xdr:col>
      <xdr:colOff>239523</xdr:colOff>
      <xdr:row>55</xdr:row>
      <xdr:rowOff>3148853</xdr:rowOff>
    </xdr:from>
    <xdr:ext cx="1093976" cy="268940"/>
    <xdr:sp macro="" textlink="">
      <xdr:nvSpPr>
        <xdr:cNvPr id="16" name="CuadroTexto 15">
          <a:extLst>
            <a:ext uri="{FF2B5EF4-FFF2-40B4-BE49-F238E27FC236}">
              <a16:creationId xmlns:a16="http://schemas.microsoft.com/office/drawing/2014/main" id="{F0ABC2D8-637A-4200-85FE-574265E846B2}"/>
            </a:ext>
          </a:extLst>
        </xdr:cNvPr>
        <xdr:cNvSpPr txBox="1"/>
      </xdr:nvSpPr>
      <xdr:spPr>
        <a:xfrm>
          <a:off x="4554348" y="17845928"/>
          <a:ext cx="1093976" cy="268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000" b="1">
              <a:effectLst/>
            </a:rPr>
            <a:t>AREA</a:t>
          </a:r>
          <a:r>
            <a:rPr lang="es-MX" sz="1000" b="1" baseline="0">
              <a:effectLst/>
            </a:rPr>
            <a:t> COTIZADA</a:t>
          </a:r>
          <a:endParaRPr lang="es-MX" sz="1000" b="1">
            <a:effectLst/>
          </a:endParaRPr>
        </a:p>
        <a:p>
          <a:pPr algn="ctr"/>
          <a:endParaRPr lang="es-PA" sz="1100"/>
        </a:p>
        <a:p>
          <a:endParaRPr lang="es-PA" sz="1100"/>
        </a:p>
      </xdr:txBody>
    </xdr:sp>
    <xdr:clientData/>
  </xdr:oneCellAnchor>
  <xdr:oneCellAnchor>
    <xdr:from>
      <xdr:col>6</xdr:col>
      <xdr:colOff>1013012</xdr:colOff>
      <xdr:row>55</xdr:row>
      <xdr:rowOff>1348119</xdr:rowOff>
    </xdr:from>
    <xdr:ext cx="1650073" cy="243117"/>
    <xdr:sp macro="" textlink="">
      <xdr:nvSpPr>
        <xdr:cNvPr id="17" name="CuadroTexto 16">
          <a:extLst>
            <a:ext uri="{FF2B5EF4-FFF2-40B4-BE49-F238E27FC236}">
              <a16:creationId xmlns:a16="http://schemas.microsoft.com/office/drawing/2014/main" id="{BAA0235F-D7A4-4452-A76C-2C1CD399C43B}"/>
            </a:ext>
          </a:extLst>
        </xdr:cNvPr>
        <xdr:cNvSpPr txBox="1"/>
      </xdr:nvSpPr>
      <xdr:spPr>
        <a:xfrm>
          <a:off x="9080687" y="16045194"/>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746878</xdr:colOff>
      <xdr:row>55</xdr:row>
      <xdr:rowOff>593377</xdr:rowOff>
    </xdr:from>
    <xdr:to>
      <xdr:col>5</xdr:col>
      <xdr:colOff>123265</xdr:colOff>
      <xdr:row>55</xdr:row>
      <xdr:rowOff>773206</xdr:rowOff>
    </xdr:to>
    <xdr:cxnSp macro="">
      <xdr:nvCxnSpPr>
        <xdr:cNvPr id="18" name="Conector recto de flecha 17">
          <a:extLst>
            <a:ext uri="{FF2B5EF4-FFF2-40B4-BE49-F238E27FC236}">
              <a16:creationId xmlns:a16="http://schemas.microsoft.com/office/drawing/2014/main" id="{6296E3D9-11D0-452C-AF0E-526BBA4E0B08}"/>
            </a:ext>
          </a:extLst>
        </xdr:cNvPr>
        <xdr:cNvCxnSpPr>
          <a:stCxn id="20" idx="3"/>
        </xdr:cNvCxnSpPr>
      </xdr:nvCxnSpPr>
      <xdr:spPr>
        <a:xfrm>
          <a:off x="6128503" y="15290452"/>
          <a:ext cx="443187"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324972</xdr:colOff>
      <xdr:row>55</xdr:row>
      <xdr:rowOff>705970</xdr:rowOff>
    </xdr:from>
    <xdr:to>
      <xdr:col>7</xdr:col>
      <xdr:colOff>392490</xdr:colOff>
      <xdr:row>55</xdr:row>
      <xdr:rowOff>1348119</xdr:rowOff>
    </xdr:to>
    <xdr:cxnSp macro="">
      <xdr:nvCxnSpPr>
        <xdr:cNvPr id="19" name="Conector recto de flecha 18">
          <a:extLst>
            <a:ext uri="{FF2B5EF4-FFF2-40B4-BE49-F238E27FC236}">
              <a16:creationId xmlns:a16="http://schemas.microsoft.com/office/drawing/2014/main" id="{E1AA052F-B1D1-4CE9-B184-02C5812B7C0A}"/>
            </a:ext>
          </a:extLst>
        </xdr:cNvPr>
        <xdr:cNvCxnSpPr>
          <a:stCxn id="17" idx="0"/>
        </xdr:cNvCxnSpPr>
      </xdr:nvCxnSpPr>
      <xdr:spPr>
        <a:xfrm flipH="1" flipV="1">
          <a:off x="8392647" y="15403045"/>
          <a:ext cx="1515318" cy="6421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717176</xdr:colOff>
      <xdr:row>55</xdr:row>
      <xdr:rowOff>346312</xdr:rowOff>
    </xdr:from>
    <xdr:ext cx="1094261" cy="494129"/>
    <xdr:sp macro="" textlink="">
      <xdr:nvSpPr>
        <xdr:cNvPr id="20" name="CuadroTexto 19">
          <a:extLst>
            <a:ext uri="{FF2B5EF4-FFF2-40B4-BE49-F238E27FC236}">
              <a16:creationId xmlns:a16="http://schemas.microsoft.com/office/drawing/2014/main" id="{3F88856B-0242-43A4-A400-53D1958353C5}"/>
            </a:ext>
          </a:extLst>
        </xdr:cNvPr>
        <xdr:cNvSpPr txBox="1"/>
      </xdr:nvSpPr>
      <xdr:spPr>
        <a:xfrm>
          <a:off x="5032001" y="15043387"/>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437029</xdr:colOff>
      <xdr:row>56</xdr:row>
      <xdr:rowOff>145677</xdr:rowOff>
    </xdr:from>
    <xdr:ext cx="2860309" cy="291039"/>
    <xdr:sp macro="" textlink="">
      <xdr:nvSpPr>
        <xdr:cNvPr id="21" name="CuadroTexto 20">
          <a:extLst>
            <a:ext uri="{FF2B5EF4-FFF2-40B4-BE49-F238E27FC236}">
              <a16:creationId xmlns:a16="http://schemas.microsoft.com/office/drawing/2014/main" id="{820BF82D-D50A-41C9-A02B-A3F6CB59D02F}"/>
            </a:ext>
          </a:extLst>
        </xdr:cNvPr>
        <xdr:cNvSpPr txBox="1"/>
      </xdr:nvSpPr>
      <xdr:spPr>
        <a:xfrm>
          <a:off x="437029" y="19776702"/>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6</xdr:col>
      <xdr:colOff>457560</xdr:colOff>
      <xdr:row>55</xdr:row>
      <xdr:rowOff>2342029</xdr:rowOff>
    </xdr:from>
    <xdr:to>
      <xdr:col>7</xdr:col>
      <xdr:colOff>1378323</xdr:colOff>
      <xdr:row>55</xdr:row>
      <xdr:rowOff>4076237</xdr:rowOff>
    </xdr:to>
    <xdr:pic>
      <xdr:nvPicPr>
        <xdr:cNvPr id="22" name="Imagen 21">
          <a:extLst>
            <a:ext uri="{FF2B5EF4-FFF2-40B4-BE49-F238E27FC236}">
              <a16:creationId xmlns:a16="http://schemas.microsoft.com/office/drawing/2014/main" id="{396AA9CF-1C2B-46EF-9CF6-0BD69FCC2545}"/>
            </a:ext>
          </a:extLst>
        </xdr:cNvPr>
        <xdr:cNvPicPr>
          <a:picLocks noChangeAspect="1"/>
        </xdr:cNvPicPr>
      </xdr:nvPicPr>
      <xdr:blipFill rotWithShape="1">
        <a:blip xmlns:r="http://schemas.openxmlformats.org/officeDocument/2006/relationships" r:embed="rId9"/>
        <a:srcRect l="6049" t="8786"/>
        <a:stretch/>
      </xdr:blipFill>
      <xdr:spPr>
        <a:xfrm>
          <a:off x="8525235" y="17039104"/>
          <a:ext cx="2368563" cy="1734208"/>
        </a:xfrm>
        <a:prstGeom prst="rect">
          <a:avLst/>
        </a:prstGeom>
      </xdr:spPr>
    </xdr:pic>
    <xdr:clientData/>
  </xdr:twoCellAnchor>
  <xdr:twoCellAnchor editAs="oneCell">
    <xdr:from>
      <xdr:col>0</xdr:col>
      <xdr:colOff>67237</xdr:colOff>
      <xdr:row>55</xdr:row>
      <xdr:rowOff>2364441</xdr:rowOff>
    </xdr:from>
    <xdr:to>
      <xdr:col>2</xdr:col>
      <xdr:colOff>1626762</xdr:colOff>
      <xdr:row>56</xdr:row>
      <xdr:rowOff>89647</xdr:rowOff>
    </xdr:to>
    <xdr:pic>
      <xdr:nvPicPr>
        <xdr:cNvPr id="23" name="Imagen 22">
          <a:extLst>
            <a:ext uri="{FF2B5EF4-FFF2-40B4-BE49-F238E27FC236}">
              <a16:creationId xmlns:a16="http://schemas.microsoft.com/office/drawing/2014/main" id="{046C55BA-39ED-4295-B905-3461875E0F0A}"/>
            </a:ext>
          </a:extLst>
        </xdr:cNvPr>
        <xdr:cNvPicPr>
          <a:picLocks noChangeAspect="1"/>
        </xdr:cNvPicPr>
      </xdr:nvPicPr>
      <xdr:blipFill rotWithShape="1">
        <a:blip xmlns:r="http://schemas.openxmlformats.org/officeDocument/2006/relationships" r:embed="rId10"/>
        <a:srcRect l="3964" t="13207" r="891" b="2149"/>
        <a:stretch/>
      </xdr:blipFill>
      <xdr:spPr>
        <a:xfrm>
          <a:off x="67237" y="17061516"/>
          <a:ext cx="3769325" cy="2659156"/>
        </a:xfrm>
        <a:prstGeom prst="rect">
          <a:avLst/>
        </a:prstGeom>
      </xdr:spPr>
    </xdr:pic>
    <xdr:clientData/>
  </xdr:twoCellAnchor>
  <xdr:twoCellAnchor editAs="oneCell">
    <xdr:from>
      <xdr:col>6</xdr:col>
      <xdr:colOff>515471</xdr:colOff>
      <xdr:row>0</xdr:row>
      <xdr:rowOff>123265</xdr:rowOff>
    </xdr:from>
    <xdr:to>
      <xdr:col>7</xdr:col>
      <xdr:colOff>907679</xdr:colOff>
      <xdr:row>0</xdr:row>
      <xdr:rowOff>1532734</xdr:rowOff>
    </xdr:to>
    <xdr:pic>
      <xdr:nvPicPr>
        <xdr:cNvPr id="24" name="Imagen 23">
          <a:extLst>
            <a:ext uri="{FF2B5EF4-FFF2-40B4-BE49-F238E27FC236}">
              <a16:creationId xmlns:a16="http://schemas.microsoft.com/office/drawing/2014/main" id="{509D6AF2-848C-4DC1-9466-C732DA8FBF27}"/>
            </a:ext>
          </a:extLst>
        </xdr:cNvPr>
        <xdr:cNvPicPr>
          <a:picLocks noChangeAspect="1"/>
        </xdr:cNvPicPr>
      </xdr:nvPicPr>
      <xdr:blipFill rotWithShape="1">
        <a:blip xmlns:r="http://schemas.openxmlformats.org/officeDocument/2006/relationships" r:embed="rId11"/>
        <a:srcRect t="4420" r="5369"/>
        <a:stretch/>
      </xdr:blipFill>
      <xdr:spPr>
        <a:xfrm>
          <a:off x="8583146" y="123265"/>
          <a:ext cx="1840008" cy="140946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168088</xdr:colOff>
      <xdr:row>141</xdr:row>
      <xdr:rowOff>818030</xdr:rowOff>
    </xdr:from>
    <xdr:to>
      <xdr:col>3</xdr:col>
      <xdr:colOff>823614</xdr:colOff>
      <xdr:row>141</xdr:row>
      <xdr:rowOff>4381502</xdr:rowOff>
    </xdr:to>
    <xdr:pic>
      <xdr:nvPicPr>
        <xdr:cNvPr id="2" name="Imagen 1">
          <a:extLst>
            <a:ext uri="{FF2B5EF4-FFF2-40B4-BE49-F238E27FC236}">
              <a16:creationId xmlns:a16="http://schemas.microsoft.com/office/drawing/2014/main" id="{02E73FD5-EFDE-4B92-9A79-85FC3EC2512E}"/>
            </a:ext>
          </a:extLst>
        </xdr:cNvPr>
        <xdr:cNvPicPr>
          <a:picLocks noChangeAspect="1"/>
        </xdr:cNvPicPr>
      </xdr:nvPicPr>
      <xdr:blipFill rotWithShape="1">
        <a:blip xmlns:r="http://schemas.openxmlformats.org/officeDocument/2006/relationships" r:embed="rId1"/>
        <a:srcRect l="2976" t="7939" r="1561" b="759"/>
        <a:stretch/>
      </xdr:blipFill>
      <xdr:spPr>
        <a:xfrm>
          <a:off x="168088" y="38556080"/>
          <a:ext cx="4970351" cy="3563472"/>
        </a:xfrm>
        <a:prstGeom prst="rect">
          <a:avLst/>
        </a:prstGeom>
      </xdr:spPr>
    </xdr:pic>
    <xdr:clientData/>
  </xdr:twoCellAnchor>
  <xdr:twoCellAnchor editAs="oneCell">
    <xdr:from>
      <xdr:col>5</xdr:col>
      <xdr:colOff>963706</xdr:colOff>
      <xdr:row>141</xdr:row>
      <xdr:rowOff>268941</xdr:rowOff>
    </xdr:from>
    <xdr:to>
      <xdr:col>7</xdr:col>
      <xdr:colOff>1296849</xdr:colOff>
      <xdr:row>141</xdr:row>
      <xdr:rowOff>976803</xdr:rowOff>
    </xdr:to>
    <xdr:pic>
      <xdr:nvPicPr>
        <xdr:cNvPr id="3" name="Imagen 2">
          <a:extLst>
            <a:ext uri="{FF2B5EF4-FFF2-40B4-BE49-F238E27FC236}">
              <a16:creationId xmlns:a16="http://schemas.microsoft.com/office/drawing/2014/main" id="{BF3071BF-53E4-40A7-B406-49B236AB7FE0}"/>
            </a:ext>
          </a:extLst>
        </xdr:cNvPr>
        <xdr:cNvPicPr>
          <a:picLocks noChangeAspect="1"/>
        </xdr:cNvPicPr>
      </xdr:nvPicPr>
      <xdr:blipFill>
        <a:blip xmlns:r="http://schemas.openxmlformats.org/officeDocument/2006/relationships" r:embed="rId2"/>
        <a:stretch>
          <a:fillRect/>
        </a:stretch>
      </xdr:blipFill>
      <xdr:spPr>
        <a:xfrm>
          <a:off x="7412131" y="38006991"/>
          <a:ext cx="3400193" cy="707862"/>
        </a:xfrm>
        <a:prstGeom prst="rect">
          <a:avLst/>
        </a:prstGeom>
      </xdr:spPr>
    </xdr:pic>
    <xdr:clientData/>
  </xdr:twoCellAnchor>
  <xdr:twoCellAnchor editAs="oneCell">
    <xdr:from>
      <xdr:col>4</xdr:col>
      <xdr:colOff>-1</xdr:colOff>
      <xdr:row>141</xdr:row>
      <xdr:rowOff>4112558</xdr:rowOff>
    </xdr:from>
    <xdr:to>
      <xdr:col>5</xdr:col>
      <xdr:colOff>766840</xdr:colOff>
      <xdr:row>142</xdr:row>
      <xdr:rowOff>156880</xdr:rowOff>
    </xdr:to>
    <xdr:pic>
      <xdr:nvPicPr>
        <xdr:cNvPr id="4" name="Imagen 3">
          <a:extLst>
            <a:ext uri="{FF2B5EF4-FFF2-40B4-BE49-F238E27FC236}">
              <a16:creationId xmlns:a16="http://schemas.microsoft.com/office/drawing/2014/main" id="{1088D98C-ED8A-4869-902A-CC1782EA13B4}"/>
            </a:ext>
          </a:extLst>
        </xdr:cNvPr>
        <xdr:cNvPicPr>
          <a:picLocks noChangeAspect="1"/>
        </xdr:cNvPicPr>
      </xdr:nvPicPr>
      <xdr:blipFill rotWithShape="1">
        <a:blip xmlns:r="http://schemas.openxmlformats.org/officeDocument/2006/relationships" r:embed="rId3"/>
        <a:srcRect l="4422" t="16538" r="736" b="-178"/>
        <a:stretch/>
      </xdr:blipFill>
      <xdr:spPr>
        <a:xfrm>
          <a:off x="5381624" y="41850608"/>
          <a:ext cx="1833641" cy="978272"/>
        </a:xfrm>
        <a:prstGeom prst="rect">
          <a:avLst/>
        </a:prstGeom>
      </xdr:spPr>
    </xdr:pic>
    <xdr:clientData/>
  </xdr:twoCellAnchor>
  <xdr:twoCellAnchor editAs="oneCell">
    <xdr:from>
      <xdr:col>6</xdr:col>
      <xdr:colOff>717177</xdr:colOff>
      <xdr:row>141</xdr:row>
      <xdr:rowOff>1979167</xdr:rowOff>
    </xdr:from>
    <xdr:to>
      <xdr:col>7</xdr:col>
      <xdr:colOff>1703294</xdr:colOff>
      <xdr:row>141</xdr:row>
      <xdr:rowOff>3657444</xdr:rowOff>
    </xdr:to>
    <xdr:pic>
      <xdr:nvPicPr>
        <xdr:cNvPr id="5" name="Imagen 4">
          <a:extLst>
            <a:ext uri="{FF2B5EF4-FFF2-40B4-BE49-F238E27FC236}">
              <a16:creationId xmlns:a16="http://schemas.microsoft.com/office/drawing/2014/main" id="{F4443236-F70A-41B5-813C-28C223C31F62}"/>
            </a:ext>
          </a:extLst>
        </xdr:cNvPr>
        <xdr:cNvPicPr>
          <a:picLocks noChangeAspect="1"/>
        </xdr:cNvPicPr>
      </xdr:nvPicPr>
      <xdr:blipFill>
        <a:blip xmlns:r="http://schemas.openxmlformats.org/officeDocument/2006/relationships" r:embed="rId4"/>
        <a:stretch>
          <a:fillRect/>
        </a:stretch>
      </xdr:blipFill>
      <xdr:spPr>
        <a:xfrm>
          <a:off x="8784852" y="39717217"/>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833D661A-4B68-4D8A-B4B3-209876726DA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171</xdr:row>
      <xdr:rowOff>66260</xdr:rowOff>
    </xdr:from>
    <xdr:to>
      <xdr:col>7</xdr:col>
      <xdr:colOff>1257836</xdr:colOff>
      <xdr:row>171</xdr:row>
      <xdr:rowOff>808463</xdr:rowOff>
    </xdr:to>
    <xdr:pic>
      <xdr:nvPicPr>
        <xdr:cNvPr id="7" name="Imagen 6" descr="Imagen de WhatsApp 2023-03-09 a las 17.44.48">
          <a:extLst>
            <a:ext uri="{FF2B5EF4-FFF2-40B4-BE49-F238E27FC236}">
              <a16:creationId xmlns:a16="http://schemas.microsoft.com/office/drawing/2014/main" id="{2526F0F2-1A13-4B93-A685-C1631833BAA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51539360"/>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172</xdr:row>
      <xdr:rowOff>47625</xdr:rowOff>
    </xdr:from>
    <xdr:to>
      <xdr:col>7</xdr:col>
      <xdr:colOff>828675</xdr:colOff>
      <xdr:row>172</xdr:row>
      <xdr:rowOff>647700</xdr:rowOff>
    </xdr:to>
    <xdr:pic>
      <xdr:nvPicPr>
        <xdr:cNvPr id="8" name="Imagen 10">
          <a:extLst>
            <a:ext uri="{FF2B5EF4-FFF2-40B4-BE49-F238E27FC236}">
              <a16:creationId xmlns:a16="http://schemas.microsoft.com/office/drawing/2014/main" id="{7C513F3B-5002-4298-B994-373047D449C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52368450"/>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141</xdr:row>
      <xdr:rowOff>424675</xdr:rowOff>
    </xdr:from>
    <xdr:to>
      <xdr:col>33</xdr:col>
      <xdr:colOff>287574</xdr:colOff>
      <xdr:row>141</xdr:row>
      <xdr:rowOff>2893219</xdr:rowOff>
    </xdr:to>
    <xdr:pic>
      <xdr:nvPicPr>
        <xdr:cNvPr id="9" name="Imagen 8">
          <a:extLst>
            <a:ext uri="{FF2B5EF4-FFF2-40B4-BE49-F238E27FC236}">
              <a16:creationId xmlns:a16="http://schemas.microsoft.com/office/drawing/2014/main" id="{6FD9EBE3-90AC-45DF-8BFB-94940C62AA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8162725"/>
          <a:ext cx="3692761" cy="2468544"/>
        </a:xfrm>
        <a:prstGeom prst="rect">
          <a:avLst/>
        </a:prstGeom>
      </xdr:spPr>
    </xdr:pic>
    <xdr:clientData/>
  </xdr:twoCellAnchor>
  <xdr:twoCellAnchor editAs="oneCell">
    <xdr:from>
      <xdr:col>25</xdr:col>
      <xdr:colOff>357188</xdr:colOff>
      <xdr:row>141</xdr:row>
      <xdr:rowOff>2428875</xdr:rowOff>
    </xdr:from>
    <xdr:to>
      <xdr:col>27</xdr:col>
      <xdr:colOff>610005</xdr:colOff>
      <xdr:row>141</xdr:row>
      <xdr:rowOff>4485482</xdr:rowOff>
    </xdr:to>
    <xdr:pic>
      <xdr:nvPicPr>
        <xdr:cNvPr id="10" name="Imagen 9">
          <a:extLst>
            <a:ext uri="{FF2B5EF4-FFF2-40B4-BE49-F238E27FC236}">
              <a16:creationId xmlns:a16="http://schemas.microsoft.com/office/drawing/2014/main" id="{3CB8C176-2E00-4D89-9A47-8D2EB6C7FB3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40166925"/>
          <a:ext cx="1757767" cy="2056607"/>
        </a:xfrm>
        <a:prstGeom prst="rect">
          <a:avLst/>
        </a:prstGeom>
      </xdr:spPr>
    </xdr:pic>
    <xdr:clientData/>
  </xdr:twoCellAnchor>
  <xdr:twoCellAnchor editAs="oneCell">
    <xdr:from>
      <xdr:col>9</xdr:col>
      <xdr:colOff>0</xdr:colOff>
      <xdr:row>141</xdr:row>
      <xdr:rowOff>0</xdr:rowOff>
    </xdr:from>
    <xdr:to>
      <xdr:col>9</xdr:col>
      <xdr:colOff>304800</xdr:colOff>
      <xdr:row>141</xdr:row>
      <xdr:rowOff>304800</xdr:rowOff>
    </xdr:to>
    <xdr:sp macro="" textlink="">
      <xdr:nvSpPr>
        <xdr:cNvPr id="11" name="AutoShape 1">
          <a:extLst>
            <a:ext uri="{FF2B5EF4-FFF2-40B4-BE49-F238E27FC236}">
              <a16:creationId xmlns:a16="http://schemas.microsoft.com/office/drawing/2014/main" id="{01095B37-7731-40FF-95F7-99369FE7286A}"/>
            </a:ext>
          </a:extLst>
        </xdr:cNvPr>
        <xdr:cNvSpPr>
          <a:spLocks noChangeAspect="1" noChangeArrowheads="1"/>
        </xdr:cNvSpPr>
      </xdr:nvSpPr>
      <xdr:spPr bwMode="auto">
        <a:xfrm>
          <a:off x="12496800" y="3773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114</xdr:row>
      <xdr:rowOff>0</xdr:rowOff>
    </xdr:from>
    <xdr:to>
      <xdr:col>9</xdr:col>
      <xdr:colOff>304800</xdr:colOff>
      <xdr:row>114</xdr:row>
      <xdr:rowOff>301625</xdr:rowOff>
    </xdr:to>
    <xdr:sp macro="" textlink="">
      <xdr:nvSpPr>
        <xdr:cNvPr id="12" name="AutoShape 1">
          <a:extLst>
            <a:ext uri="{FF2B5EF4-FFF2-40B4-BE49-F238E27FC236}">
              <a16:creationId xmlns:a16="http://schemas.microsoft.com/office/drawing/2014/main" id="{AF19699F-E2B4-4554-A3EC-AEE2EA9A7056}"/>
            </a:ext>
          </a:extLst>
        </xdr:cNvPr>
        <xdr:cNvSpPr>
          <a:spLocks noChangeAspect="1" noChangeArrowheads="1"/>
        </xdr:cNvSpPr>
      </xdr:nvSpPr>
      <xdr:spPr bwMode="auto">
        <a:xfrm>
          <a:off x="1249680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114</xdr:row>
      <xdr:rowOff>0</xdr:rowOff>
    </xdr:from>
    <xdr:to>
      <xdr:col>11</xdr:col>
      <xdr:colOff>304800</xdr:colOff>
      <xdr:row>114</xdr:row>
      <xdr:rowOff>301625</xdr:rowOff>
    </xdr:to>
    <xdr:sp macro="" textlink="">
      <xdr:nvSpPr>
        <xdr:cNvPr id="13" name="AutoShape 2">
          <a:extLst>
            <a:ext uri="{FF2B5EF4-FFF2-40B4-BE49-F238E27FC236}">
              <a16:creationId xmlns:a16="http://schemas.microsoft.com/office/drawing/2014/main" id="{FECA7205-2238-475F-91D2-91308799683B}"/>
            </a:ext>
          </a:extLst>
        </xdr:cNvPr>
        <xdr:cNvSpPr>
          <a:spLocks noChangeAspect="1" noChangeArrowheads="1"/>
        </xdr:cNvSpPr>
      </xdr:nvSpPr>
      <xdr:spPr bwMode="auto">
        <a:xfrm>
          <a:off x="1491615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141</xdr:row>
      <xdr:rowOff>3451412</xdr:rowOff>
    </xdr:from>
    <xdr:to>
      <xdr:col>4</xdr:col>
      <xdr:colOff>493058</xdr:colOff>
      <xdr:row>141</xdr:row>
      <xdr:rowOff>4303059</xdr:rowOff>
    </xdr:to>
    <xdr:cxnSp macro="">
      <xdr:nvCxnSpPr>
        <xdr:cNvPr id="14" name="Conector recto de flecha 13">
          <a:extLst>
            <a:ext uri="{FF2B5EF4-FFF2-40B4-BE49-F238E27FC236}">
              <a16:creationId xmlns:a16="http://schemas.microsoft.com/office/drawing/2014/main" id="{D1B291B9-6BEA-4227-A94C-D8D9FD804C57}"/>
            </a:ext>
          </a:extLst>
        </xdr:cNvPr>
        <xdr:cNvCxnSpPr/>
      </xdr:nvCxnSpPr>
      <xdr:spPr>
        <a:xfrm>
          <a:off x="4707031" y="41189462"/>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141</xdr:row>
      <xdr:rowOff>2577353</xdr:rowOff>
    </xdr:from>
    <xdr:ext cx="773207" cy="448236"/>
    <xdr:sp macro="" textlink="">
      <xdr:nvSpPr>
        <xdr:cNvPr id="15" name="CuadroTexto 14">
          <a:extLst>
            <a:ext uri="{FF2B5EF4-FFF2-40B4-BE49-F238E27FC236}">
              <a16:creationId xmlns:a16="http://schemas.microsoft.com/office/drawing/2014/main" id="{62F069E8-562D-4239-AB3F-34A5F53D9364}"/>
            </a:ext>
          </a:extLst>
        </xdr:cNvPr>
        <xdr:cNvSpPr txBox="1"/>
      </xdr:nvSpPr>
      <xdr:spPr>
        <a:xfrm>
          <a:off x="8986557" y="40315403"/>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141</xdr:row>
      <xdr:rowOff>4647028</xdr:rowOff>
    </xdr:from>
    <xdr:ext cx="896472" cy="261149"/>
    <xdr:sp macro="" textlink="">
      <xdr:nvSpPr>
        <xdr:cNvPr id="16" name="CuadroTexto 15">
          <a:extLst>
            <a:ext uri="{FF2B5EF4-FFF2-40B4-BE49-F238E27FC236}">
              <a16:creationId xmlns:a16="http://schemas.microsoft.com/office/drawing/2014/main" id="{685786EE-E203-4FAD-9A9C-AA00158D37DB}"/>
            </a:ext>
          </a:extLst>
        </xdr:cNvPr>
        <xdr:cNvSpPr txBox="1"/>
      </xdr:nvSpPr>
      <xdr:spPr>
        <a:xfrm>
          <a:off x="21488958" y="42385078"/>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6</xdr:col>
      <xdr:colOff>1069040</xdr:colOff>
      <xdr:row>141</xdr:row>
      <xdr:rowOff>1090384</xdr:rowOff>
    </xdr:from>
    <xdr:ext cx="1650073" cy="243117"/>
    <xdr:sp macro="" textlink="">
      <xdr:nvSpPr>
        <xdr:cNvPr id="17" name="CuadroTexto 16">
          <a:extLst>
            <a:ext uri="{FF2B5EF4-FFF2-40B4-BE49-F238E27FC236}">
              <a16:creationId xmlns:a16="http://schemas.microsoft.com/office/drawing/2014/main" id="{1E8BF471-E1C8-4450-A1C1-51D942C8B0AE}"/>
            </a:ext>
          </a:extLst>
        </xdr:cNvPr>
        <xdr:cNvSpPr txBox="1"/>
      </xdr:nvSpPr>
      <xdr:spPr>
        <a:xfrm>
          <a:off x="9136715" y="38828434"/>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5</xdr:col>
      <xdr:colOff>1508878</xdr:colOff>
      <xdr:row>141</xdr:row>
      <xdr:rowOff>302025</xdr:rowOff>
    </xdr:from>
    <xdr:to>
      <xdr:col>6</xdr:col>
      <xdr:colOff>324970</xdr:colOff>
      <xdr:row>141</xdr:row>
      <xdr:rowOff>481854</xdr:rowOff>
    </xdr:to>
    <xdr:cxnSp macro="">
      <xdr:nvCxnSpPr>
        <xdr:cNvPr id="18" name="Conector recto de flecha 17">
          <a:extLst>
            <a:ext uri="{FF2B5EF4-FFF2-40B4-BE49-F238E27FC236}">
              <a16:creationId xmlns:a16="http://schemas.microsoft.com/office/drawing/2014/main" id="{9810BA6A-8362-4C79-84F9-670346DFBF7D}"/>
            </a:ext>
          </a:extLst>
        </xdr:cNvPr>
        <xdr:cNvCxnSpPr>
          <a:stCxn id="20" idx="3"/>
        </xdr:cNvCxnSpPr>
      </xdr:nvCxnSpPr>
      <xdr:spPr>
        <a:xfrm>
          <a:off x="7957303" y="38040075"/>
          <a:ext cx="435342"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907677</xdr:colOff>
      <xdr:row>141</xdr:row>
      <xdr:rowOff>605118</xdr:rowOff>
    </xdr:from>
    <xdr:to>
      <xdr:col>7</xdr:col>
      <xdr:colOff>448518</xdr:colOff>
      <xdr:row>141</xdr:row>
      <xdr:rowOff>1090384</xdr:rowOff>
    </xdr:to>
    <xdr:cxnSp macro="">
      <xdr:nvCxnSpPr>
        <xdr:cNvPr id="19" name="Conector recto de flecha 18">
          <a:extLst>
            <a:ext uri="{FF2B5EF4-FFF2-40B4-BE49-F238E27FC236}">
              <a16:creationId xmlns:a16="http://schemas.microsoft.com/office/drawing/2014/main" id="{D9028DC4-EDF2-4AF9-B475-CDB9F9DD5DD2}"/>
            </a:ext>
          </a:extLst>
        </xdr:cNvPr>
        <xdr:cNvCxnSpPr>
          <a:stCxn id="17" idx="0"/>
        </xdr:cNvCxnSpPr>
      </xdr:nvCxnSpPr>
      <xdr:spPr>
        <a:xfrm flipH="1" flipV="1">
          <a:off x="8975352" y="38343168"/>
          <a:ext cx="988641"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414617</xdr:colOff>
      <xdr:row>141</xdr:row>
      <xdr:rowOff>54960</xdr:rowOff>
    </xdr:from>
    <xdr:ext cx="1094261" cy="494129"/>
    <xdr:sp macro="" textlink="">
      <xdr:nvSpPr>
        <xdr:cNvPr id="20" name="CuadroTexto 19">
          <a:extLst>
            <a:ext uri="{FF2B5EF4-FFF2-40B4-BE49-F238E27FC236}">
              <a16:creationId xmlns:a16="http://schemas.microsoft.com/office/drawing/2014/main" id="{75FF7AE4-0645-4625-A42A-9D96A7D12B91}"/>
            </a:ext>
          </a:extLst>
        </xdr:cNvPr>
        <xdr:cNvSpPr txBox="1"/>
      </xdr:nvSpPr>
      <xdr:spPr>
        <a:xfrm>
          <a:off x="6863042" y="37793010"/>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141</xdr:row>
      <xdr:rowOff>4639235</xdr:rowOff>
    </xdr:from>
    <xdr:ext cx="2860309" cy="291039"/>
    <xdr:sp macro="" textlink="">
      <xdr:nvSpPr>
        <xdr:cNvPr id="21" name="CuadroTexto 20">
          <a:extLst>
            <a:ext uri="{FF2B5EF4-FFF2-40B4-BE49-F238E27FC236}">
              <a16:creationId xmlns:a16="http://schemas.microsoft.com/office/drawing/2014/main" id="{705607F1-99D7-4674-841B-D6DAD70930E0}"/>
            </a:ext>
          </a:extLst>
        </xdr:cNvPr>
        <xdr:cNvSpPr txBox="1"/>
      </xdr:nvSpPr>
      <xdr:spPr>
        <a:xfrm>
          <a:off x="728382" y="42377285"/>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141</xdr:row>
      <xdr:rowOff>4235824</xdr:rowOff>
    </xdr:from>
    <xdr:to>
      <xdr:col>6</xdr:col>
      <xdr:colOff>723553</xdr:colOff>
      <xdr:row>142</xdr:row>
      <xdr:rowOff>165384</xdr:rowOff>
    </xdr:to>
    <xdr:pic>
      <xdr:nvPicPr>
        <xdr:cNvPr id="22" name="Imagen 21">
          <a:extLst>
            <a:ext uri="{FF2B5EF4-FFF2-40B4-BE49-F238E27FC236}">
              <a16:creationId xmlns:a16="http://schemas.microsoft.com/office/drawing/2014/main" id="{C68B1C10-4D0E-4ABE-8068-51CB5F5E44AE}"/>
            </a:ext>
          </a:extLst>
        </xdr:cNvPr>
        <xdr:cNvPicPr>
          <a:picLocks noChangeAspect="1"/>
        </xdr:cNvPicPr>
      </xdr:nvPicPr>
      <xdr:blipFill rotWithShape="1">
        <a:blip xmlns:r="http://schemas.openxmlformats.org/officeDocument/2006/relationships" r:embed="rId10"/>
        <a:srcRect l="6049" t="8786"/>
        <a:stretch/>
      </xdr:blipFill>
      <xdr:spPr>
        <a:xfrm>
          <a:off x="7623161" y="41973874"/>
          <a:ext cx="1168067" cy="863510"/>
        </a:xfrm>
        <a:prstGeom prst="rect">
          <a:avLst/>
        </a:prstGeom>
      </xdr:spPr>
    </xdr:pic>
    <xdr:clientData/>
  </xdr:twoCellAnchor>
  <xdr:oneCellAnchor>
    <xdr:from>
      <xdr:col>9</xdr:col>
      <xdr:colOff>0</xdr:colOff>
      <xdr:row>121</xdr:row>
      <xdr:rowOff>0</xdr:rowOff>
    </xdr:from>
    <xdr:ext cx="304800" cy="301625"/>
    <xdr:sp macro="" textlink="">
      <xdr:nvSpPr>
        <xdr:cNvPr id="23" name="AutoShape 1">
          <a:extLst>
            <a:ext uri="{FF2B5EF4-FFF2-40B4-BE49-F238E27FC236}">
              <a16:creationId xmlns:a16="http://schemas.microsoft.com/office/drawing/2014/main" id="{9D13BE14-A435-462A-A064-15E1A5F0D6D9}"/>
            </a:ext>
          </a:extLst>
        </xdr:cNvPr>
        <xdr:cNvSpPr>
          <a:spLocks noChangeAspect="1" noChangeArrowheads="1"/>
        </xdr:cNvSpPr>
      </xdr:nvSpPr>
      <xdr:spPr bwMode="auto">
        <a:xfrm>
          <a:off x="1249680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4" name="AutoShape 2">
          <a:extLst>
            <a:ext uri="{FF2B5EF4-FFF2-40B4-BE49-F238E27FC236}">
              <a16:creationId xmlns:a16="http://schemas.microsoft.com/office/drawing/2014/main" id="{4D3C97ED-7D8D-430C-824E-BA45F44D7133}"/>
            </a:ext>
          </a:extLst>
        </xdr:cNvPr>
        <xdr:cNvSpPr>
          <a:spLocks noChangeAspect="1" noChangeArrowheads="1"/>
        </xdr:cNvSpPr>
      </xdr:nvSpPr>
      <xdr:spPr bwMode="auto">
        <a:xfrm>
          <a:off x="1491615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128</xdr:row>
      <xdr:rowOff>0</xdr:rowOff>
    </xdr:from>
    <xdr:ext cx="304800" cy="301625"/>
    <xdr:sp macro="" textlink="">
      <xdr:nvSpPr>
        <xdr:cNvPr id="25" name="AutoShape 1">
          <a:extLst>
            <a:ext uri="{FF2B5EF4-FFF2-40B4-BE49-F238E27FC236}">
              <a16:creationId xmlns:a16="http://schemas.microsoft.com/office/drawing/2014/main" id="{D70440BB-C7B9-4544-8510-6067DB1BB48D}"/>
            </a:ext>
          </a:extLst>
        </xdr:cNvPr>
        <xdr:cNvSpPr>
          <a:spLocks noChangeAspect="1" noChangeArrowheads="1"/>
        </xdr:cNvSpPr>
      </xdr:nvSpPr>
      <xdr:spPr bwMode="auto">
        <a:xfrm>
          <a:off x="1249680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xdr:row>
      <xdr:rowOff>0</xdr:rowOff>
    </xdr:from>
    <xdr:ext cx="304800" cy="301625"/>
    <xdr:sp macro="" textlink="">
      <xdr:nvSpPr>
        <xdr:cNvPr id="26" name="AutoShape 2">
          <a:extLst>
            <a:ext uri="{FF2B5EF4-FFF2-40B4-BE49-F238E27FC236}">
              <a16:creationId xmlns:a16="http://schemas.microsoft.com/office/drawing/2014/main" id="{80BD83B7-68C4-4171-BC00-15EB3640CB86}"/>
            </a:ext>
          </a:extLst>
        </xdr:cNvPr>
        <xdr:cNvSpPr>
          <a:spLocks noChangeAspect="1" noChangeArrowheads="1"/>
        </xdr:cNvSpPr>
      </xdr:nvSpPr>
      <xdr:spPr bwMode="auto">
        <a:xfrm>
          <a:off x="1491615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134</xdr:row>
      <xdr:rowOff>0</xdr:rowOff>
    </xdr:from>
    <xdr:ext cx="304800" cy="301625"/>
    <xdr:sp macro="" textlink="">
      <xdr:nvSpPr>
        <xdr:cNvPr id="27" name="AutoShape 1">
          <a:extLst>
            <a:ext uri="{FF2B5EF4-FFF2-40B4-BE49-F238E27FC236}">
              <a16:creationId xmlns:a16="http://schemas.microsoft.com/office/drawing/2014/main" id="{24F8958E-455B-4057-A02A-B012928A361B}"/>
            </a:ext>
          </a:extLst>
        </xdr:cNvPr>
        <xdr:cNvSpPr>
          <a:spLocks noChangeAspect="1" noChangeArrowheads="1"/>
        </xdr:cNvSpPr>
      </xdr:nvSpPr>
      <xdr:spPr bwMode="auto">
        <a:xfrm>
          <a:off x="1249680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134</xdr:row>
      <xdr:rowOff>0</xdr:rowOff>
    </xdr:from>
    <xdr:ext cx="304800" cy="301625"/>
    <xdr:sp macro="" textlink="">
      <xdr:nvSpPr>
        <xdr:cNvPr id="28" name="AutoShape 2">
          <a:extLst>
            <a:ext uri="{FF2B5EF4-FFF2-40B4-BE49-F238E27FC236}">
              <a16:creationId xmlns:a16="http://schemas.microsoft.com/office/drawing/2014/main" id="{3549464C-A860-498D-8D79-961F5CB729CA}"/>
            </a:ext>
          </a:extLst>
        </xdr:cNvPr>
        <xdr:cNvSpPr>
          <a:spLocks noChangeAspect="1" noChangeArrowheads="1"/>
        </xdr:cNvSpPr>
      </xdr:nvSpPr>
      <xdr:spPr bwMode="auto">
        <a:xfrm>
          <a:off x="1491615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141</xdr:row>
      <xdr:rowOff>2853017</xdr:rowOff>
    </xdr:from>
    <xdr:to>
      <xdr:col>5</xdr:col>
      <xdr:colOff>762357</xdr:colOff>
      <xdr:row>141</xdr:row>
      <xdr:rowOff>3827927</xdr:rowOff>
    </xdr:to>
    <xdr:pic>
      <xdr:nvPicPr>
        <xdr:cNvPr id="29" name="Imagen 28">
          <a:extLst>
            <a:ext uri="{FF2B5EF4-FFF2-40B4-BE49-F238E27FC236}">
              <a16:creationId xmlns:a16="http://schemas.microsoft.com/office/drawing/2014/main" id="{E69B1433-5674-4CB2-8A4B-1493BED44961}"/>
            </a:ext>
          </a:extLst>
        </xdr:cNvPr>
        <xdr:cNvPicPr>
          <a:picLocks noChangeAspect="1"/>
        </xdr:cNvPicPr>
      </xdr:nvPicPr>
      <xdr:blipFill rotWithShape="1">
        <a:blip xmlns:r="http://schemas.openxmlformats.org/officeDocument/2006/relationships" r:embed="rId3"/>
        <a:srcRect l="4422" t="16538" r="736" b="-178"/>
        <a:stretch/>
      </xdr:blipFill>
      <xdr:spPr>
        <a:xfrm>
          <a:off x="5374900" y="40591067"/>
          <a:ext cx="1835882" cy="974910"/>
        </a:xfrm>
        <a:prstGeom prst="rect">
          <a:avLst/>
        </a:prstGeom>
      </xdr:spPr>
    </xdr:pic>
    <xdr:clientData/>
  </xdr:twoCellAnchor>
  <xdr:twoCellAnchor editAs="oneCell">
    <xdr:from>
      <xdr:col>5</xdr:col>
      <xdr:colOff>1170253</xdr:colOff>
      <xdr:row>141</xdr:row>
      <xdr:rowOff>2976283</xdr:rowOff>
    </xdr:from>
    <xdr:to>
      <xdr:col>6</xdr:col>
      <xdr:colOff>719070</xdr:colOff>
      <xdr:row>141</xdr:row>
      <xdr:rowOff>3836431</xdr:rowOff>
    </xdr:to>
    <xdr:pic>
      <xdr:nvPicPr>
        <xdr:cNvPr id="30" name="Imagen 29">
          <a:extLst>
            <a:ext uri="{FF2B5EF4-FFF2-40B4-BE49-F238E27FC236}">
              <a16:creationId xmlns:a16="http://schemas.microsoft.com/office/drawing/2014/main" id="{A603A01B-BA79-4360-967B-E904CCA405DD}"/>
            </a:ext>
          </a:extLst>
        </xdr:cNvPr>
        <xdr:cNvPicPr>
          <a:picLocks noChangeAspect="1"/>
        </xdr:cNvPicPr>
      </xdr:nvPicPr>
      <xdr:blipFill rotWithShape="1">
        <a:blip xmlns:r="http://schemas.openxmlformats.org/officeDocument/2006/relationships" r:embed="rId10"/>
        <a:srcRect l="6049" t="8786"/>
        <a:stretch/>
      </xdr:blipFill>
      <xdr:spPr>
        <a:xfrm>
          <a:off x="7618678" y="40714333"/>
          <a:ext cx="1168067" cy="860148"/>
        </a:xfrm>
        <a:prstGeom prst="rect">
          <a:avLst/>
        </a:prstGeom>
      </xdr:spPr>
    </xdr:pic>
    <xdr:clientData/>
  </xdr:twoCellAnchor>
  <xdr:twoCellAnchor editAs="oneCell">
    <xdr:from>
      <xdr:col>3</xdr:col>
      <xdr:colOff>977152</xdr:colOff>
      <xdr:row>141</xdr:row>
      <xdr:rowOff>1638300</xdr:rowOff>
    </xdr:from>
    <xdr:to>
      <xdr:col>5</xdr:col>
      <xdr:colOff>679434</xdr:colOff>
      <xdr:row>141</xdr:row>
      <xdr:rowOff>2613210</xdr:rowOff>
    </xdr:to>
    <xdr:pic>
      <xdr:nvPicPr>
        <xdr:cNvPr id="31" name="Imagen 30">
          <a:extLst>
            <a:ext uri="{FF2B5EF4-FFF2-40B4-BE49-F238E27FC236}">
              <a16:creationId xmlns:a16="http://schemas.microsoft.com/office/drawing/2014/main" id="{EF49D610-7591-4F3E-8402-EF046357AAA8}"/>
            </a:ext>
          </a:extLst>
        </xdr:cNvPr>
        <xdr:cNvPicPr>
          <a:picLocks noChangeAspect="1"/>
        </xdr:cNvPicPr>
      </xdr:nvPicPr>
      <xdr:blipFill rotWithShape="1">
        <a:blip xmlns:r="http://schemas.openxmlformats.org/officeDocument/2006/relationships" r:embed="rId3"/>
        <a:srcRect l="4422" t="16538" r="736" b="-178"/>
        <a:stretch/>
      </xdr:blipFill>
      <xdr:spPr>
        <a:xfrm>
          <a:off x="5291977" y="39376350"/>
          <a:ext cx="1835882" cy="974910"/>
        </a:xfrm>
        <a:prstGeom prst="rect">
          <a:avLst/>
        </a:prstGeom>
      </xdr:spPr>
    </xdr:pic>
    <xdr:clientData/>
  </xdr:twoCellAnchor>
  <xdr:twoCellAnchor editAs="oneCell">
    <xdr:from>
      <xdr:col>5</xdr:col>
      <xdr:colOff>1087330</xdr:colOff>
      <xdr:row>141</xdr:row>
      <xdr:rowOff>1761566</xdr:rowOff>
    </xdr:from>
    <xdr:to>
      <xdr:col>6</xdr:col>
      <xdr:colOff>636147</xdr:colOff>
      <xdr:row>141</xdr:row>
      <xdr:rowOff>2621714</xdr:rowOff>
    </xdr:to>
    <xdr:pic>
      <xdr:nvPicPr>
        <xdr:cNvPr id="32" name="Imagen 31">
          <a:extLst>
            <a:ext uri="{FF2B5EF4-FFF2-40B4-BE49-F238E27FC236}">
              <a16:creationId xmlns:a16="http://schemas.microsoft.com/office/drawing/2014/main" id="{558B5FE3-FEAE-44AA-B8C9-E6B248E40F8D}"/>
            </a:ext>
          </a:extLst>
        </xdr:cNvPr>
        <xdr:cNvPicPr>
          <a:picLocks noChangeAspect="1"/>
        </xdr:cNvPicPr>
      </xdr:nvPicPr>
      <xdr:blipFill rotWithShape="1">
        <a:blip xmlns:r="http://schemas.openxmlformats.org/officeDocument/2006/relationships" r:embed="rId10"/>
        <a:srcRect l="6049" t="8786"/>
        <a:stretch/>
      </xdr:blipFill>
      <xdr:spPr>
        <a:xfrm>
          <a:off x="7535755" y="39499616"/>
          <a:ext cx="1168067" cy="860148"/>
        </a:xfrm>
        <a:prstGeom prst="rect">
          <a:avLst/>
        </a:prstGeom>
      </xdr:spPr>
    </xdr:pic>
    <xdr:clientData/>
  </xdr:twoCellAnchor>
  <xdr:twoCellAnchor editAs="oneCell">
    <xdr:from>
      <xdr:col>3</xdr:col>
      <xdr:colOff>838199</xdr:colOff>
      <xdr:row>141</xdr:row>
      <xdr:rowOff>569258</xdr:rowOff>
    </xdr:from>
    <xdr:to>
      <xdr:col>5</xdr:col>
      <xdr:colOff>540481</xdr:colOff>
      <xdr:row>141</xdr:row>
      <xdr:rowOff>1544168</xdr:rowOff>
    </xdr:to>
    <xdr:pic>
      <xdr:nvPicPr>
        <xdr:cNvPr id="33" name="Imagen 32">
          <a:extLst>
            <a:ext uri="{FF2B5EF4-FFF2-40B4-BE49-F238E27FC236}">
              <a16:creationId xmlns:a16="http://schemas.microsoft.com/office/drawing/2014/main" id="{4A74A7A1-4C0E-4E7D-B97E-0DBDBE2CD409}"/>
            </a:ext>
          </a:extLst>
        </xdr:cNvPr>
        <xdr:cNvPicPr>
          <a:picLocks noChangeAspect="1"/>
        </xdr:cNvPicPr>
      </xdr:nvPicPr>
      <xdr:blipFill rotWithShape="1">
        <a:blip xmlns:r="http://schemas.openxmlformats.org/officeDocument/2006/relationships" r:embed="rId3"/>
        <a:srcRect l="4422" t="16538" r="736" b="-178"/>
        <a:stretch/>
      </xdr:blipFill>
      <xdr:spPr>
        <a:xfrm>
          <a:off x="5153024" y="38307308"/>
          <a:ext cx="1835882" cy="974910"/>
        </a:xfrm>
        <a:prstGeom prst="rect">
          <a:avLst/>
        </a:prstGeom>
      </xdr:spPr>
    </xdr:pic>
    <xdr:clientData/>
  </xdr:twoCellAnchor>
  <xdr:twoCellAnchor>
    <xdr:from>
      <xdr:col>5</xdr:col>
      <xdr:colOff>728383</xdr:colOff>
      <xdr:row>141</xdr:row>
      <xdr:rowOff>1860176</xdr:rowOff>
    </xdr:from>
    <xdr:to>
      <xdr:col>5</xdr:col>
      <xdr:colOff>1243854</xdr:colOff>
      <xdr:row>141</xdr:row>
      <xdr:rowOff>2259105</xdr:rowOff>
    </xdr:to>
    <xdr:sp macro="" textlink="">
      <xdr:nvSpPr>
        <xdr:cNvPr id="34" name="Signo más 33">
          <a:extLst>
            <a:ext uri="{FF2B5EF4-FFF2-40B4-BE49-F238E27FC236}">
              <a16:creationId xmlns:a16="http://schemas.microsoft.com/office/drawing/2014/main" id="{5E222689-115C-40C3-A9BB-4C0A53B69782}"/>
            </a:ext>
          </a:extLst>
        </xdr:cNvPr>
        <xdr:cNvSpPr/>
      </xdr:nvSpPr>
      <xdr:spPr>
        <a:xfrm>
          <a:off x="7176808" y="39598226"/>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141</xdr:row>
      <xdr:rowOff>3133164</xdr:rowOff>
    </xdr:from>
    <xdr:to>
      <xdr:col>5</xdr:col>
      <xdr:colOff>1284195</xdr:colOff>
      <xdr:row>141</xdr:row>
      <xdr:rowOff>3532093</xdr:rowOff>
    </xdr:to>
    <xdr:sp macro="" textlink="">
      <xdr:nvSpPr>
        <xdr:cNvPr id="35" name="Signo más 34">
          <a:extLst>
            <a:ext uri="{FF2B5EF4-FFF2-40B4-BE49-F238E27FC236}">
              <a16:creationId xmlns:a16="http://schemas.microsoft.com/office/drawing/2014/main" id="{13072C57-D771-4225-A1EA-47DE453EE16F}"/>
            </a:ext>
          </a:extLst>
        </xdr:cNvPr>
        <xdr:cNvSpPr/>
      </xdr:nvSpPr>
      <xdr:spPr>
        <a:xfrm>
          <a:off x="7217149" y="40871214"/>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141</xdr:row>
      <xdr:rowOff>4406152</xdr:rowOff>
    </xdr:from>
    <xdr:to>
      <xdr:col>5</xdr:col>
      <xdr:colOff>1313331</xdr:colOff>
      <xdr:row>141</xdr:row>
      <xdr:rowOff>4805081</xdr:rowOff>
    </xdr:to>
    <xdr:sp macro="" textlink="">
      <xdr:nvSpPr>
        <xdr:cNvPr id="36" name="Signo más 35">
          <a:extLst>
            <a:ext uri="{FF2B5EF4-FFF2-40B4-BE49-F238E27FC236}">
              <a16:creationId xmlns:a16="http://schemas.microsoft.com/office/drawing/2014/main" id="{7E82FB7C-20A9-40CF-B3F9-3762B42FEEC6}"/>
            </a:ext>
          </a:extLst>
        </xdr:cNvPr>
        <xdr:cNvSpPr/>
      </xdr:nvSpPr>
      <xdr:spPr>
        <a:xfrm>
          <a:off x="7246285" y="42144202"/>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567018</xdr:colOff>
      <xdr:row>141</xdr:row>
      <xdr:rowOff>757517</xdr:rowOff>
    </xdr:from>
    <xdr:to>
      <xdr:col>5</xdr:col>
      <xdr:colOff>1082489</xdr:colOff>
      <xdr:row>141</xdr:row>
      <xdr:rowOff>1156446</xdr:rowOff>
    </xdr:to>
    <xdr:sp macro="" textlink="">
      <xdr:nvSpPr>
        <xdr:cNvPr id="37" name="Signo más 36">
          <a:extLst>
            <a:ext uri="{FF2B5EF4-FFF2-40B4-BE49-F238E27FC236}">
              <a16:creationId xmlns:a16="http://schemas.microsoft.com/office/drawing/2014/main" id="{6E515DD1-1AAE-4169-848D-6020BF959444}"/>
            </a:ext>
          </a:extLst>
        </xdr:cNvPr>
        <xdr:cNvSpPr/>
      </xdr:nvSpPr>
      <xdr:spPr>
        <a:xfrm>
          <a:off x="7015443" y="38495567"/>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8" name="Conector recto de flecha 37">
          <a:extLst>
            <a:ext uri="{FF2B5EF4-FFF2-40B4-BE49-F238E27FC236}">
              <a16:creationId xmlns:a16="http://schemas.microsoft.com/office/drawing/2014/main" id="{305E369F-CF15-47F8-9B48-7C89D5C0AFD1}"/>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141</xdr:row>
      <xdr:rowOff>2734236</xdr:rowOff>
    </xdr:from>
    <xdr:to>
      <xdr:col>4</xdr:col>
      <xdr:colOff>549088</xdr:colOff>
      <xdr:row>141</xdr:row>
      <xdr:rowOff>3104030</xdr:rowOff>
    </xdr:to>
    <xdr:cxnSp macro="">
      <xdr:nvCxnSpPr>
        <xdr:cNvPr id="39" name="Conector recto de flecha 38">
          <a:extLst>
            <a:ext uri="{FF2B5EF4-FFF2-40B4-BE49-F238E27FC236}">
              <a16:creationId xmlns:a16="http://schemas.microsoft.com/office/drawing/2014/main" id="{D8BE666D-89B0-47CD-A038-38A393CE9EBB}"/>
            </a:ext>
          </a:extLst>
        </xdr:cNvPr>
        <xdr:cNvCxnSpPr/>
      </xdr:nvCxnSpPr>
      <xdr:spPr>
        <a:xfrm>
          <a:off x="4975972" y="40472286"/>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141</xdr:row>
      <xdr:rowOff>2125755</xdr:rowOff>
    </xdr:from>
    <xdr:to>
      <xdr:col>3</xdr:col>
      <xdr:colOff>977152</xdr:colOff>
      <xdr:row>141</xdr:row>
      <xdr:rowOff>2203077</xdr:rowOff>
    </xdr:to>
    <xdr:cxnSp macro="">
      <xdr:nvCxnSpPr>
        <xdr:cNvPr id="40" name="Conector recto de flecha 39">
          <a:extLst>
            <a:ext uri="{FF2B5EF4-FFF2-40B4-BE49-F238E27FC236}">
              <a16:creationId xmlns:a16="http://schemas.microsoft.com/office/drawing/2014/main" id="{B9739160-A84E-46B7-9AD2-D551B37F4699}"/>
            </a:ext>
          </a:extLst>
        </xdr:cNvPr>
        <xdr:cNvCxnSpPr>
          <a:endCxn id="31" idx="1"/>
        </xdr:cNvCxnSpPr>
      </xdr:nvCxnSpPr>
      <xdr:spPr>
        <a:xfrm flipV="1">
          <a:off x="4881843" y="39863805"/>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141</xdr:row>
      <xdr:rowOff>1199030</xdr:rowOff>
    </xdr:from>
    <xdr:to>
      <xdr:col>3</xdr:col>
      <xdr:colOff>818029</xdr:colOff>
      <xdr:row>141</xdr:row>
      <xdr:rowOff>1414183</xdr:rowOff>
    </xdr:to>
    <xdr:cxnSp macro="">
      <xdr:nvCxnSpPr>
        <xdr:cNvPr id="41" name="Conector recto de flecha 40">
          <a:extLst>
            <a:ext uri="{FF2B5EF4-FFF2-40B4-BE49-F238E27FC236}">
              <a16:creationId xmlns:a16="http://schemas.microsoft.com/office/drawing/2014/main" id="{AF2041FA-A31A-4500-9B13-553D1EC20E77}"/>
            </a:ext>
          </a:extLst>
        </xdr:cNvPr>
        <xdr:cNvCxnSpPr/>
      </xdr:nvCxnSpPr>
      <xdr:spPr>
        <a:xfrm flipV="1">
          <a:off x="4586007" y="38937080"/>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549089</xdr:colOff>
      <xdr:row>0</xdr:row>
      <xdr:rowOff>78441</xdr:rowOff>
    </xdr:from>
    <xdr:to>
      <xdr:col>7</xdr:col>
      <xdr:colOff>941297</xdr:colOff>
      <xdr:row>0</xdr:row>
      <xdr:rowOff>1487910</xdr:rowOff>
    </xdr:to>
    <xdr:pic>
      <xdr:nvPicPr>
        <xdr:cNvPr id="42" name="Imagen 41">
          <a:extLst>
            <a:ext uri="{FF2B5EF4-FFF2-40B4-BE49-F238E27FC236}">
              <a16:creationId xmlns:a16="http://schemas.microsoft.com/office/drawing/2014/main" id="{467206FD-C40E-441D-8EBC-545CF7D0D75D}"/>
            </a:ext>
          </a:extLst>
        </xdr:cNvPr>
        <xdr:cNvPicPr>
          <a:picLocks noChangeAspect="1"/>
        </xdr:cNvPicPr>
      </xdr:nvPicPr>
      <xdr:blipFill rotWithShape="1">
        <a:blip xmlns:r="http://schemas.openxmlformats.org/officeDocument/2006/relationships" r:embed="rId11"/>
        <a:srcRect t="4420" r="5369"/>
        <a:stretch/>
      </xdr:blipFill>
      <xdr:spPr>
        <a:xfrm>
          <a:off x="8616764" y="78441"/>
          <a:ext cx="1840008" cy="1409469"/>
        </a:xfrm>
        <a:prstGeom prst="rect">
          <a:avLst/>
        </a:prstGeom>
      </xdr:spPr>
    </xdr:pic>
    <xdr:clientData/>
  </xdr:twoCellAnchor>
  <xdr:oneCellAnchor>
    <xdr:from>
      <xdr:col>4</xdr:col>
      <xdr:colOff>493056</xdr:colOff>
      <xdr:row>142</xdr:row>
      <xdr:rowOff>211843</xdr:rowOff>
    </xdr:from>
    <xdr:ext cx="1445561" cy="258805"/>
    <xdr:sp macro="" textlink="">
      <xdr:nvSpPr>
        <xdr:cNvPr id="43" name="CuadroTexto 42">
          <a:extLst>
            <a:ext uri="{FF2B5EF4-FFF2-40B4-BE49-F238E27FC236}">
              <a16:creationId xmlns:a16="http://schemas.microsoft.com/office/drawing/2014/main" id="{1130AE9A-3088-4B5E-BA42-0CE7B28FF218}"/>
            </a:ext>
          </a:extLst>
        </xdr:cNvPr>
        <xdr:cNvSpPr txBox="1"/>
      </xdr:nvSpPr>
      <xdr:spPr>
        <a:xfrm>
          <a:off x="5874681" y="42883843"/>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4</xdr:col>
      <xdr:colOff>891986</xdr:colOff>
      <xdr:row>141</xdr:row>
      <xdr:rowOff>3804449</xdr:rowOff>
    </xdr:from>
    <xdr:ext cx="1618131" cy="274492"/>
    <xdr:sp macro="" textlink="">
      <xdr:nvSpPr>
        <xdr:cNvPr id="44" name="CuadroTexto 43">
          <a:extLst>
            <a:ext uri="{FF2B5EF4-FFF2-40B4-BE49-F238E27FC236}">
              <a16:creationId xmlns:a16="http://schemas.microsoft.com/office/drawing/2014/main" id="{AAAFE39E-9802-4AFF-AF46-8DCE340ECE72}"/>
            </a:ext>
          </a:extLst>
        </xdr:cNvPr>
        <xdr:cNvSpPr txBox="1"/>
      </xdr:nvSpPr>
      <xdr:spPr>
        <a:xfrm>
          <a:off x="6273611" y="41542499"/>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4</xdr:col>
      <xdr:colOff>876298</xdr:colOff>
      <xdr:row>141</xdr:row>
      <xdr:rowOff>2488879</xdr:rowOff>
    </xdr:from>
    <xdr:ext cx="1618131" cy="274492"/>
    <xdr:sp macro="" textlink="">
      <xdr:nvSpPr>
        <xdr:cNvPr id="45" name="CuadroTexto 44">
          <a:extLst>
            <a:ext uri="{FF2B5EF4-FFF2-40B4-BE49-F238E27FC236}">
              <a16:creationId xmlns:a16="http://schemas.microsoft.com/office/drawing/2014/main" id="{064EA922-172A-410C-A915-8AD13EE9C3D1}"/>
            </a:ext>
          </a:extLst>
        </xdr:cNvPr>
        <xdr:cNvSpPr txBox="1"/>
      </xdr:nvSpPr>
      <xdr:spPr>
        <a:xfrm>
          <a:off x="6257923" y="40226929"/>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oneCellAnchor>
    <xdr:from>
      <xdr:col>5</xdr:col>
      <xdr:colOff>53787</xdr:colOff>
      <xdr:row>141</xdr:row>
      <xdr:rowOff>1285367</xdr:rowOff>
    </xdr:from>
    <xdr:ext cx="1618131" cy="274492"/>
    <xdr:sp macro="" textlink="">
      <xdr:nvSpPr>
        <xdr:cNvPr id="46" name="CuadroTexto 45">
          <a:extLst>
            <a:ext uri="{FF2B5EF4-FFF2-40B4-BE49-F238E27FC236}">
              <a16:creationId xmlns:a16="http://schemas.microsoft.com/office/drawing/2014/main" id="{8A67010E-E4A9-47B9-85C1-6A4BD04E69C8}"/>
            </a:ext>
          </a:extLst>
        </xdr:cNvPr>
        <xdr:cNvSpPr txBox="1"/>
      </xdr:nvSpPr>
      <xdr:spPr>
        <a:xfrm>
          <a:off x="6502212" y="39023417"/>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ULTIMO NIVEL</a:t>
          </a:r>
        </a:p>
        <a:p>
          <a:pPr algn="ctr"/>
          <a:endParaRPr lang="es-PA" sz="1100"/>
        </a:p>
        <a:p>
          <a:endParaRPr lang="es-PA" sz="1100"/>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168088</xdr:colOff>
      <xdr:row>141</xdr:row>
      <xdr:rowOff>818030</xdr:rowOff>
    </xdr:from>
    <xdr:to>
      <xdr:col>3</xdr:col>
      <xdr:colOff>823614</xdr:colOff>
      <xdr:row>141</xdr:row>
      <xdr:rowOff>4381502</xdr:rowOff>
    </xdr:to>
    <xdr:pic>
      <xdr:nvPicPr>
        <xdr:cNvPr id="2" name="Imagen 1">
          <a:extLst>
            <a:ext uri="{FF2B5EF4-FFF2-40B4-BE49-F238E27FC236}">
              <a16:creationId xmlns:a16="http://schemas.microsoft.com/office/drawing/2014/main" id="{B71D6C22-C773-41AF-961C-14751C32BD25}"/>
            </a:ext>
          </a:extLst>
        </xdr:cNvPr>
        <xdr:cNvPicPr>
          <a:picLocks noChangeAspect="1"/>
        </xdr:cNvPicPr>
      </xdr:nvPicPr>
      <xdr:blipFill rotWithShape="1">
        <a:blip xmlns:r="http://schemas.openxmlformats.org/officeDocument/2006/relationships" r:embed="rId1"/>
        <a:srcRect l="2976" t="7939" r="1561" b="759"/>
        <a:stretch/>
      </xdr:blipFill>
      <xdr:spPr>
        <a:xfrm>
          <a:off x="168088" y="38556080"/>
          <a:ext cx="4970351" cy="3563472"/>
        </a:xfrm>
        <a:prstGeom prst="rect">
          <a:avLst/>
        </a:prstGeom>
      </xdr:spPr>
    </xdr:pic>
    <xdr:clientData/>
  </xdr:twoCellAnchor>
  <xdr:twoCellAnchor editAs="oneCell">
    <xdr:from>
      <xdr:col>5</xdr:col>
      <xdr:colOff>963706</xdr:colOff>
      <xdr:row>141</xdr:row>
      <xdr:rowOff>268941</xdr:rowOff>
    </xdr:from>
    <xdr:to>
      <xdr:col>7</xdr:col>
      <xdr:colOff>1296849</xdr:colOff>
      <xdr:row>141</xdr:row>
      <xdr:rowOff>976803</xdr:rowOff>
    </xdr:to>
    <xdr:pic>
      <xdr:nvPicPr>
        <xdr:cNvPr id="3" name="Imagen 2">
          <a:extLst>
            <a:ext uri="{FF2B5EF4-FFF2-40B4-BE49-F238E27FC236}">
              <a16:creationId xmlns:a16="http://schemas.microsoft.com/office/drawing/2014/main" id="{462FF099-F3C8-45B6-AEED-A4C7E0E15D09}"/>
            </a:ext>
          </a:extLst>
        </xdr:cNvPr>
        <xdr:cNvPicPr>
          <a:picLocks noChangeAspect="1"/>
        </xdr:cNvPicPr>
      </xdr:nvPicPr>
      <xdr:blipFill>
        <a:blip xmlns:r="http://schemas.openxmlformats.org/officeDocument/2006/relationships" r:embed="rId2"/>
        <a:stretch>
          <a:fillRect/>
        </a:stretch>
      </xdr:blipFill>
      <xdr:spPr>
        <a:xfrm>
          <a:off x="7412131" y="38006991"/>
          <a:ext cx="3400193" cy="707862"/>
        </a:xfrm>
        <a:prstGeom prst="rect">
          <a:avLst/>
        </a:prstGeom>
      </xdr:spPr>
    </xdr:pic>
    <xdr:clientData/>
  </xdr:twoCellAnchor>
  <xdr:twoCellAnchor editAs="oneCell">
    <xdr:from>
      <xdr:col>4</xdr:col>
      <xdr:colOff>-1</xdr:colOff>
      <xdr:row>141</xdr:row>
      <xdr:rowOff>4112558</xdr:rowOff>
    </xdr:from>
    <xdr:to>
      <xdr:col>5</xdr:col>
      <xdr:colOff>766840</xdr:colOff>
      <xdr:row>142</xdr:row>
      <xdr:rowOff>156880</xdr:rowOff>
    </xdr:to>
    <xdr:pic>
      <xdr:nvPicPr>
        <xdr:cNvPr id="4" name="Imagen 3">
          <a:extLst>
            <a:ext uri="{FF2B5EF4-FFF2-40B4-BE49-F238E27FC236}">
              <a16:creationId xmlns:a16="http://schemas.microsoft.com/office/drawing/2014/main" id="{3F331E77-B15B-458C-8D7C-52D2ECC04EC5}"/>
            </a:ext>
          </a:extLst>
        </xdr:cNvPr>
        <xdr:cNvPicPr>
          <a:picLocks noChangeAspect="1"/>
        </xdr:cNvPicPr>
      </xdr:nvPicPr>
      <xdr:blipFill rotWithShape="1">
        <a:blip xmlns:r="http://schemas.openxmlformats.org/officeDocument/2006/relationships" r:embed="rId3"/>
        <a:srcRect l="4422" t="16538" r="736" b="-178"/>
        <a:stretch/>
      </xdr:blipFill>
      <xdr:spPr>
        <a:xfrm>
          <a:off x="5381624" y="41850608"/>
          <a:ext cx="1833641" cy="978272"/>
        </a:xfrm>
        <a:prstGeom prst="rect">
          <a:avLst/>
        </a:prstGeom>
      </xdr:spPr>
    </xdr:pic>
    <xdr:clientData/>
  </xdr:twoCellAnchor>
  <xdr:twoCellAnchor editAs="oneCell">
    <xdr:from>
      <xdr:col>6</xdr:col>
      <xdr:colOff>717177</xdr:colOff>
      <xdr:row>141</xdr:row>
      <xdr:rowOff>1979167</xdr:rowOff>
    </xdr:from>
    <xdr:to>
      <xdr:col>7</xdr:col>
      <xdr:colOff>1703294</xdr:colOff>
      <xdr:row>141</xdr:row>
      <xdr:rowOff>3657444</xdr:rowOff>
    </xdr:to>
    <xdr:pic>
      <xdr:nvPicPr>
        <xdr:cNvPr id="5" name="Imagen 4">
          <a:extLst>
            <a:ext uri="{FF2B5EF4-FFF2-40B4-BE49-F238E27FC236}">
              <a16:creationId xmlns:a16="http://schemas.microsoft.com/office/drawing/2014/main" id="{91221835-F690-4AE2-9F4F-D5E01DF2B6EF}"/>
            </a:ext>
          </a:extLst>
        </xdr:cNvPr>
        <xdr:cNvPicPr>
          <a:picLocks noChangeAspect="1"/>
        </xdr:cNvPicPr>
      </xdr:nvPicPr>
      <xdr:blipFill>
        <a:blip xmlns:r="http://schemas.openxmlformats.org/officeDocument/2006/relationships" r:embed="rId4"/>
        <a:stretch>
          <a:fillRect/>
        </a:stretch>
      </xdr:blipFill>
      <xdr:spPr>
        <a:xfrm>
          <a:off x="8784852" y="39717217"/>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F64B9830-9FA4-4628-8EC4-E8B39569D4D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171</xdr:row>
      <xdr:rowOff>66260</xdr:rowOff>
    </xdr:from>
    <xdr:to>
      <xdr:col>7</xdr:col>
      <xdr:colOff>1257836</xdr:colOff>
      <xdr:row>171</xdr:row>
      <xdr:rowOff>808463</xdr:rowOff>
    </xdr:to>
    <xdr:pic>
      <xdr:nvPicPr>
        <xdr:cNvPr id="7" name="Imagen 6" descr="Imagen de WhatsApp 2023-03-09 a las 17.44.48">
          <a:extLst>
            <a:ext uri="{FF2B5EF4-FFF2-40B4-BE49-F238E27FC236}">
              <a16:creationId xmlns:a16="http://schemas.microsoft.com/office/drawing/2014/main" id="{7FCF6826-AC97-42EC-9363-8BA75557D3C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51539360"/>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172</xdr:row>
      <xdr:rowOff>47625</xdr:rowOff>
    </xdr:from>
    <xdr:to>
      <xdr:col>7</xdr:col>
      <xdr:colOff>828675</xdr:colOff>
      <xdr:row>172</xdr:row>
      <xdr:rowOff>647700</xdr:rowOff>
    </xdr:to>
    <xdr:pic>
      <xdr:nvPicPr>
        <xdr:cNvPr id="8" name="Imagen 10">
          <a:extLst>
            <a:ext uri="{FF2B5EF4-FFF2-40B4-BE49-F238E27FC236}">
              <a16:creationId xmlns:a16="http://schemas.microsoft.com/office/drawing/2014/main" id="{D8F6C237-244B-4E86-8EC7-C75576F24FD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52368450"/>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141</xdr:row>
      <xdr:rowOff>424675</xdr:rowOff>
    </xdr:from>
    <xdr:to>
      <xdr:col>33</xdr:col>
      <xdr:colOff>287574</xdr:colOff>
      <xdr:row>141</xdr:row>
      <xdr:rowOff>2893219</xdr:rowOff>
    </xdr:to>
    <xdr:pic>
      <xdr:nvPicPr>
        <xdr:cNvPr id="9" name="Imagen 8">
          <a:extLst>
            <a:ext uri="{FF2B5EF4-FFF2-40B4-BE49-F238E27FC236}">
              <a16:creationId xmlns:a16="http://schemas.microsoft.com/office/drawing/2014/main" id="{5D12D918-0F08-4601-A635-02F86B030C9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8162725"/>
          <a:ext cx="3692761" cy="2468544"/>
        </a:xfrm>
        <a:prstGeom prst="rect">
          <a:avLst/>
        </a:prstGeom>
      </xdr:spPr>
    </xdr:pic>
    <xdr:clientData/>
  </xdr:twoCellAnchor>
  <xdr:twoCellAnchor editAs="oneCell">
    <xdr:from>
      <xdr:col>25</xdr:col>
      <xdr:colOff>357188</xdr:colOff>
      <xdr:row>141</xdr:row>
      <xdr:rowOff>2428875</xdr:rowOff>
    </xdr:from>
    <xdr:to>
      <xdr:col>27</xdr:col>
      <xdr:colOff>610005</xdr:colOff>
      <xdr:row>141</xdr:row>
      <xdr:rowOff>4485482</xdr:rowOff>
    </xdr:to>
    <xdr:pic>
      <xdr:nvPicPr>
        <xdr:cNvPr id="10" name="Imagen 9">
          <a:extLst>
            <a:ext uri="{FF2B5EF4-FFF2-40B4-BE49-F238E27FC236}">
              <a16:creationId xmlns:a16="http://schemas.microsoft.com/office/drawing/2014/main" id="{94FBA44C-DA3F-4A2C-A1F2-D8B15BF85AE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40166925"/>
          <a:ext cx="1757767" cy="2056607"/>
        </a:xfrm>
        <a:prstGeom prst="rect">
          <a:avLst/>
        </a:prstGeom>
      </xdr:spPr>
    </xdr:pic>
    <xdr:clientData/>
  </xdr:twoCellAnchor>
  <xdr:twoCellAnchor editAs="oneCell">
    <xdr:from>
      <xdr:col>9</xdr:col>
      <xdr:colOff>0</xdr:colOff>
      <xdr:row>141</xdr:row>
      <xdr:rowOff>0</xdr:rowOff>
    </xdr:from>
    <xdr:to>
      <xdr:col>9</xdr:col>
      <xdr:colOff>304800</xdr:colOff>
      <xdr:row>141</xdr:row>
      <xdr:rowOff>304800</xdr:rowOff>
    </xdr:to>
    <xdr:sp macro="" textlink="">
      <xdr:nvSpPr>
        <xdr:cNvPr id="11" name="AutoShape 1">
          <a:extLst>
            <a:ext uri="{FF2B5EF4-FFF2-40B4-BE49-F238E27FC236}">
              <a16:creationId xmlns:a16="http://schemas.microsoft.com/office/drawing/2014/main" id="{2DAAE5EA-DA1C-4119-A0D5-FB6164808DA5}"/>
            </a:ext>
          </a:extLst>
        </xdr:cNvPr>
        <xdr:cNvSpPr>
          <a:spLocks noChangeAspect="1" noChangeArrowheads="1"/>
        </xdr:cNvSpPr>
      </xdr:nvSpPr>
      <xdr:spPr bwMode="auto">
        <a:xfrm>
          <a:off x="12496800" y="3773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114</xdr:row>
      <xdr:rowOff>0</xdr:rowOff>
    </xdr:from>
    <xdr:to>
      <xdr:col>9</xdr:col>
      <xdr:colOff>304800</xdr:colOff>
      <xdr:row>114</xdr:row>
      <xdr:rowOff>301625</xdr:rowOff>
    </xdr:to>
    <xdr:sp macro="" textlink="">
      <xdr:nvSpPr>
        <xdr:cNvPr id="12" name="AutoShape 1">
          <a:extLst>
            <a:ext uri="{FF2B5EF4-FFF2-40B4-BE49-F238E27FC236}">
              <a16:creationId xmlns:a16="http://schemas.microsoft.com/office/drawing/2014/main" id="{D5BEFA35-9D2E-49EC-85A1-6CE4AEA0DC4C}"/>
            </a:ext>
          </a:extLst>
        </xdr:cNvPr>
        <xdr:cNvSpPr>
          <a:spLocks noChangeAspect="1" noChangeArrowheads="1"/>
        </xdr:cNvSpPr>
      </xdr:nvSpPr>
      <xdr:spPr bwMode="auto">
        <a:xfrm>
          <a:off x="1249680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114</xdr:row>
      <xdr:rowOff>0</xdr:rowOff>
    </xdr:from>
    <xdr:to>
      <xdr:col>11</xdr:col>
      <xdr:colOff>304800</xdr:colOff>
      <xdr:row>114</xdr:row>
      <xdr:rowOff>301625</xdr:rowOff>
    </xdr:to>
    <xdr:sp macro="" textlink="">
      <xdr:nvSpPr>
        <xdr:cNvPr id="13" name="AutoShape 2">
          <a:extLst>
            <a:ext uri="{FF2B5EF4-FFF2-40B4-BE49-F238E27FC236}">
              <a16:creationId xmlns:a16="http://schemas.microsoft.com/office/drawing/2014/main" id="{B4CA7BC8-FD9F-4010-AFB9-A53D21561FEC}"/>
            </a:ext>
          </a:extLst>
        </xdr:cNvPr>
        <xdr:cNvSpPr>
          <a:spLocks noChangeAspect="1" noChangeArrowheads="1"/>
        </xdr:cNvSpPr>
      </xdr:nvSpPr>
      <xdr:spPr bwMode="auto">
        <a:xfrm>
          <a:off x="14916150" y="28956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141</xdr:row>
      <xdr:rowOff>3451412</xdr:rowOff>
    </xdr:from>
    <xdr:to>
      <xdr:col>4</xdr:col>
      <xdr:colOff>493058</xdr:colOff>
      <xdr:row>141</xdr:row>
      <xdr:rowOff>4303059</xdr:rowOff>
    </xdr:to>
    <xdr:cxnSp macro="">
      <xdr:nvCxnSpPr>
        <xdr:cNvPr id="14" name="Conector recto de flecha 13">
          <a:extLst>
            <a:ext uri="{FF2B5EF4-FFF2-40B4-BE49-F238E27FC236}">
              <a16:creationId xmlns:a16="http://schemas.microsoft.com/office/drawing/2014/main" id="{A62DBE94-68E9-45FC-8403-2F04A14E8D1E}"/>
            </a:ext>
          </a:extLst>
        </xdr:cNvPr>
        <xdr:cNvCxnSpPr/>
      </xdr:nvCxnSpPr>
      <xdr:spPr>
        <a:xfrm>
          <a:off x="4707031" y="41189462"/>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141</xdr:row>
      <xdr:rowOff>2577353</xdr:rowOff>
    </xdr:from>
    <xdr:ext cx="773207" cy="448236"/>
    <xdr:sp macro="" textlink="">
      <xdr:nvSpPr>
        <xdr:cNvPr id="15" name="CuadroTexto 14">
          <a:extLst>
            <a:ext uri="{FF2B5EF4-FFF2-40B4-BE49-F238E27FC236}">
              <a16:creationId xmlns:a16="http://schemas.microsoft.com/office/drawing/2014/main" id="{4C42A713-2FC1-4014-8CE6-17DB62D6AB0A}"/>
            </a:ext>
          </a:extLst>
        </xdr:cNvPr>
        <xdr:cNvSpPr txBox="1"/>
      </xdr:nvSpPr>
      <xdr:spPr>
        <a:xfrm>
          <a:off x="8986557" y="40315403"/>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141</xdr:row>
      <xdr:rowOff>4647028</xdr:rowOff>
    </xdr:from>
    <xdr:ext cx="896472" cy="261149"/>
    <xdr:sp macro="" textlink="">
      <xdr:nvSpPr>
        <xdr:cNvPr id="16" name="CuadroTexto 15">
          <a:extLst>
            <a:ext uri="{FF2B5EF4-FFF2-40B4-BE49-F238E27FC236}">
              <a16:creationId xmlns:a16="http://schemas.microsoft.com/office/drawing/2014/main" id="{CFDB47AF-D2AF-4774-B0E1-5E887999BD66}"/>
            </a:ext>
          </a:extLst>
        </xdr:cNvPr>
        <xdr:cNvSpPr txBox="1"/>
      </xdr:nvSpPr>
      <xdr:spPr>
        <a:xfrm>
          <a:off x="21488958" y="42385078"/>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6</xdr:col>
      <xdr:colOff>1069040</xdr:colOff>
      <xdr:row>141</xdr:row>
      <xdr:rowOff>1090384</xdr:rowOff>
    </xdr:from>
    <xdr:ext cx="1650073" cy="243117"/>
    <xdr:sp macro="" textlink="">
      <xdr:nvSpPr>
        <xdr:cNvPr id="17" name="CuadroTexto 16">
          <a:extLst>
            <a:ext uri="{FF2B5EF4-FFF2-40B4-BE49-F238E27FC236}">
              <a16:creationId xmlns:a16="http://schemas.microsoft.com/office/drawing/2014/main" id="{B2B4A841-4411-4C30-A68F-4455A97665C5}"/>
            </a:ext>
          </a:extLst>
        </xdr:cNvPr>
        <xdr:cNvSpPr txBox="1"/>
      </xdr:nvSpPr>
      <xdr:spPr>
        <a:xfrm>
          <a:off x="9136715" y="38828434"/>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5</xdr:col>
      <xdr:colOff>1508878</xdr:colOff>
      <xdr:row>141</xdr:row>
      <xdr:rowOff>302025</xdr:rowOff>
    </xdr:from>
    <xdr:to>
      <xdr:col>6</xdr:col>
      <xdr:colOff>324970</xdr:colOff>
      <xdr:row>141</xdr:row>
      <xdr:rowOff>481854</xdr:rowOff>
    </xdr:to>
    <xdr:cxnSp macro="">
      <xdr:nvCxnSpPr>
        <xdr:cNvPr id="18" name="Conector recto de flecha 17">
          <a:extLst>
            <a:ext uri="{FF2B5EF4-FFF2-40B4-BE49-F238E27FC236}">
              <a16:creationId xmlns:a16="http://schemas.microsoft.com/office/drawing/2014/main" id="{8329BA12-F638-42E2-93DF-7A3535ECEC20}"/>
            </a:ext>
          </a:extLst>
        </xdr:cNvPr>
        <xdr:cNvCxnSpPr>
          <a:stCxn id="20" idx="3"/>
        </xdr:cNvCxnSpPr>
      </xdr:nvCxnSpPr>
      <xdr:spPr>
        <a:xfrm>
          <a:off x="7957303" y="38040075"/>
          <a:ext cx="435342"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907677</xdr:colOff>
      <xdr:row>141</xdr:row>
      <xdr:rowOff>605118</xdr:rowOff>
    </xdr:from>
    <xdr:to>
      <xdr:col>7</xdr:col>
      <xdr:colOff>448518</xdr:colOff>
      <xdr:row>141</xdr:row>
      <xdr:rowOff>1090384</xdr:rowOff>
    </xdr:to>
    <xdr:cxnSp macro="">
      <xdr:nvCxnSpPr>
        <xdr:cNvPr id="19" name="Conector recto de flecha 18">
          <a:extLst>
            <a:ext uri="{FF2B5EF4-FFF2-40B4-BE49-F238E27FC236}">
              <a16:creationId xmlns:a16="http://schemas.microsoft.com/office/drawing/2014/main" id="{EE6EE110-3F55-4CE2-8BE1-E658D9F9E805}"/>
            </a:ext>
          </a:extLst>
        </xdr:cNvPr>
        <xdr:cNvCxnSpPr>
          <a:stCxn id="17" idx="0"/>
        </xdr:cNvCxnSpPr>
      </xdr:nvCxnSpPr>
      <xdr:spPr>
        <a:xfrm flipH="1" flipV="1">
          <a:off x="8975352" y="38343168"/>
          <a:ext cx="988641"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414617</xdr:colOff>
      <xdr:row>141</xdr:row>
      <xdr:rowOff>54960</xdr:rowOff>
    </xdr:from>
    <xdr:ext cx="1094261" cy="494129"/>
    <xdr:sp macro="" textlink="">
      <xdr:nvSpPr>
        <xdr:cNvPr id="20" name="CuadroTexto 19">
          <a:extLst>
            <a:ext uri="{FF2B5EF4-FFF2-40B4-BE49-F238E27FC236}">
              <a16:creationId xmlns:a16="http://schemas.microsoft.com/office/drawing/2014/main" id="{D980565B-7883-45B4-B52A-87E679FEF500}"/>
            </a:ext>
          </a:extLst>
        </xdr:cNvPr>
        <xdr:cNvSpPr txBox="1"/>
      </xdr:nvSpPr>
      <xdr:spPr>
        <a:xfrm>
          <a:off x="6863042" y="37793010"/>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141</xdr:row>
      <xdr:rowOff>4639235</xdr:rowOff>
    </xdr:from>
    <xdr:ext cx="2860309" cy="291039"/>
    <xdr:sp macro="" textlink="">
      <xdr:nvSpPr>
        <xdr:cNvPr id="21" name="CuadroTexto 20">
          <a:extLst>
            <a:ext uri="{FF2B5EF4-FFF2-40B4-BE49-F238E27FC236}">
              <a16:creationId xmlns:a16="http://schemas.microsoft.com/office/drawing/2014/main" id="{B753A38E-A1C7-4547-9B6C-BE286DF4D3B1}"/>
            </a:ext>
          </a:extLst>
        </xdr:cNvPr>
        <xdr:cNvSpPr txBox="1"/>
      </xdr:nvSpPr>
      <xdr:spPr>
        <a:xfrm>
          <a:off x="728382" y="42377285"/>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141</xdr:row>
      <xdr:rowOff>4235824</xdr:rowOff>
    </xdr:from>
    <xdr:to>
      <xdr:col>6</xdr:col>
      <xdr:colOff>723553</xdr:colOff>
      <xdr:row>142</xdr:row>
      <xdr:rowOff>165384</xdr:rowOff>
    </xdr:to>
    <xdr:pic>
      <xdr:nvPicPr>
        <xdr:cNvPr id="22" name="Imagen 21">
          <a:extLst>
            <a:ext uri="{FF2B5EF4-FFF2-40B4-BE49-F238E27FC236}">
              <a16:creationId xmlns:a16="http://schemas.microsoft.com/office/drawing/2014/main" id="{53978FF0-3B5B-4447-A926-62F4B78F2F99}"/>
            </a:ext>
          </a:extLst>
        </xdr:cNvPr>
        <xdr:cNvPicPr>
          <a:picLocks noChangeAspect="1"/>
        </xdr:cNvPicPr>
      </xdr:nvPicPr>
      <xdr:blipFill rotWithShape="1">
        <a:blip xmlns:r="http://schemas.openxmlformats.org/officeDocument/2006/relationships" r:embed="rId10"/>
        <a:srcRect l="6049" t="8786"/>
        <a:stretch/>
      </xdr:blipFill>
      <xdr:spPr>
        <a:xfrm>
          <a:off x="7623161" y="41973874"/>
          <a:ext cx="1168067" cy="863510"/>
        </a:xfrm>
        <a:prstGeom prst="rect">
          <a:avLst/>
        </a:prstGeom>
      </xdr:spPr>
    </xdr:pic>
    <xdr:clientData/>
  </xdr:twoCellAnchor>
  <xdr:oneCellAnchor>
    <xdr:from>
      <xdr:col>9</xdr:col>
      <xdr:colOff>0</xdr:colOff>
      <xdr:row>121</xdr:row>
      <xdr:rowOff>0</xdr:rowOff>
    </xdr:from>
    <xdr:ext cx="304800" cy="301625"/>
    <xdr:sp macro="" textlink="">
      <xdr:nvSpPr>
        <xdr:cNvPr id="23" name="AutoShape 1">
          <a:extLst>
            <a:ext uri="{FF2B5EF4-FFF2-40B4-BE49-F238E27FC236}">
              <a16:creationId xmlns:a16="http://schemas.microsoft.com/office/drawing/2014/main" id="{0DA8758F-5CA3-460E-BF80-0D5E63F766DA}"/>
            </a:ext>
          </a:extLst>
        </xdr:cNvPr>
        <xdr:cNvSpPr>
          <a:spLocks noChangeAspect="1" noChangeArrowheads="1"/>
        </xdr:cNvSpPr>
      </xdr:nvSpPr>
      <xdr:spPr bwMode="auto">
        <a:xfrm>
          <a:off x="1249680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4" name="AutoShape 2">
          <a:extLst>
            <a:ext uri="{FF2B5EF4-FFF2-40B4-BE49-F238E27FC236}">
              <a16:creationId xmlns:a16="http://schemas.microsoft.com/office/drawing/2014/main" id="{516FD2FF-ACB0-4054-A9EC-4EAB563AD282}"/>
            </a:ext>
          </a:extLst>
        </xdr:cNvPr>
        <xdr:cNvSpPr>
          <a:spLocks noChangeAspect="1" noChangeArrowheads="1"/>
        </xdr:cNvSpPr>
      </xdr:nvSpPr>
      <xdr:spPr bwMode="auto">
        <a:xfrm>
          <a:off x="14916150" y="314325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128</xdr:row>
      <xdr:rowOff>0</xdr:rowOff>
    </xdr:from>
    <xdr:ext cx="304800" cy="301625"/>
    <xdr:sp macro="" textlink="">
      <xdr:nvSpPr>
        <xdr:cNvPr id="25" name="AutoShape 1">
          <a:extLst>
            <a:ext uri="{FF2B5EF4-FFF2-40B4-BE49-F238E27FC236}">
              <a16:creationId xmlns:a16="http://schemas.microsoft.com/office/drawing/2014/main" id="{F5BD0D5C-52E6-463C-8266-132DB6CE9613}"/>
            </a:ext>
          </a:extLst>
        </xdr:cNvPr>
        <xdr:cNvSpPr>
          <a:spLocks noChangeAspect="1" noChangeArrowheads="1"/>
        </xdr:cNvSpPr>
      </xdr:nvSpPr>
      <xdr:spPr bwMode="auto">
        <a:xfrm>
          <a:off x="1249680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xdr:row>
      <xdr:rowOff>0</xdr:rowOff>
    </xdr:from>
    <xdr:ext cx="304800" cy="301625"/>
    <xdr:sp macro="" textlink="">
      <xdr:nvSpPr>
        <xdr:cNvPr id="26" name="AutoShape 2">
          <a:extLst>
            <a:ext uri="{FF2B5EF4-FFF2-40B4-BE49-F238E27FC236}">
              <a16:creationId xmlns:a16="http://schemas.microsoft.com/office/drawing/2014/main" id="{BEE7BD89-D395-4E9E-8139-9ADC6B004CAC}"/>
            </a:ext>
          </a:extLst>
        </xdr:cNvPr>
        <xdr:cNvSpPr>
          <a:spLocks noChangeAspect="1" noChangeArrowheads="1"/>
        </xdr:cNvSpPr>
      </xdr:nvSpPr>
      <xdr:spPr bwMode="auto">
        <a:xfrm>
          <a:off x="14916150" y="339090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134</xdr:row>
      <xdr:rowOff>0</xdr:rowOff>
    </xdr:from>
    <xdr:ext cx="304800" cy="301625"/>
    <xdr:sp macro="" textlink="">
      <xdr:nvSpPr>
        <xdr:cNvPr id="27" name="AutoShape 1">
          <a:extLst>
            <a:ext uri="{FF2B5EF4-FFF2-40B4-BE49-F238E27FC236}">
              <a16:creationId xmlns:a16="http://schemas.microsoft.com/office/drawing/2014/main" id="{D5E3E534-FAC7-4FFF-8BA2-5A36AC75F52B}"/>
            </a:ext>
          </a:extLst>
        </xdr:cNvPr>
        <xdr:cNvSpPr>
          <a:spLocks noChangeAspect="1" noChangeArrowheads="1"/>
        </xdr:cNvSpPr>
      </xdr:nvSpPr>
      <xdr:spPr bwMode="auto">
        <a:xfrm>
          <a:off x="1249680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134</xdr:row>
      <xdr:rowOff>0</xdr:rowOff>
    </xdr:from>
    <xdr:ext cx="304800" cy="301625"/>
    <xdr:sp macro="" textlink="">
      <xdr:nvSpPr>
        <xdr:cNvPr id="28" name="AutoShape 2">
          <a:extLst>
            <a:ext uri="{FF2B5EF4-FFF2-40B4-BE49-F238E27FC236}">
              <a16:creationId xmlns:a16="http://schemas.microsoft.com/office/drawing/2014/main" id="{974AAC04-D201-4FE8-B4EE-274D66FDD4CC}"/>
            </a:ext>
          </a:extLst>
        </xdr:cNvPr>
        <xdr:cNvSpPr>
          <a:spLocks noChangeAspect="1" noChangeArrowheads="1"/>
        </xdr:cNvSpPr>
      </xdr:nvSpPr>
      <xdr:spPr bwMode="auto">
        <a:xfrm>
          <a:off x="14916150" y="357187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141</xdr:row>
      <xdr:rowOff>2853017</xdr:rowOff>
    </xdr:from>
    <xdr:to>
      <xdr:col>5</xdr:col>
      <xdr:colOff>762357</xdr:colOff>
      <xdr:row>141</xdr:row>
      <xdr:rowOff>3827927</xdr:rowOff>
    </xdr:to>
    <xdr:pic>
      <xdr:nvPicPr>
        <xdr:cNvPr id="29" name="Imagen 28">
          <a:extLst>
            <a:ext uri="{FF2B5EF4-FFF2-40B4-BE49-F238E27FC236}">
              <a16:creationId xmlns:a16="http://schemas.microsoft.com/office/drawing/2014/main" id="{D52BBE09-4E3B-4F65-AE05-BFC4D84AD936}"/>
            </a:ext>
          </a:extLst>
        </xdr:cNvPr>
        <xdr:cNvPicPr>
          <a:picLocks noChangeAspect="1"/>
        </xdr:cNvPicPr>
      </xdr:nvPicPr>
      <xdr:blipFill rotWithShape="1">
        <a:blip xmlns:r="http://schemas.openxmlformats.org/officeDocument/2006/relationships" r:embed="rId3"/>
        <a:srcRect l="4422" t="16538" r="736" b="-178"/>
        <a:stretch/>
      </xdr:blipFill>
      <xdr:spPr>
        <a:xfrm>
          <a:off x="5374900" y="40591067"/>
          <a:ext cx="1835882" cy="974910"/>
        </a:xfrm>
        <a:prstGeom prst="rect">
          <a:avLst/>
        </a:prstGeom>
      </xdr:spPr>
    </xdr:pic>
    <xdr:clientData/>
  </xdr:twoCellAnchor>
  <xdr:twoCellAnchor editAs="oneCell">
    <xdr:from>
      <xdr:col>5</xdr:col>
      <xdr:colOff>1170253</xdr:colOff>
      <xdr:row>141</xdr:row>
      <xdr:rowOff>2976283</xdr:rowOff>
    </xdr:from>
    <xdr:to>
      <xdr:col>6</xdr:col>
      <xdr:colOff>719070</xdr:colOff>
      <xdr:row>141</xdr:row>
      <xdr:rowOff>3836431</xdr:rowOff>
    </xdr:to>
    <xdr:pic>
      <xdr:nvPicPr>
        <xdr:cNvPr id="30" name="Imagen 29">
          <a:extLst>
            <a:ext uri="{FF2B5EF4-FFF2-40B4-BE49-F238E27FC236}">
              <a16:creationId xmlns:a16="http://schemas.microsoft.com/office/drawing/2014/main" id="{E3BA86E8-4269-4B86-A450-29D749C6052B}"/>
            </a:ext>
          </a:extLst>
        </xdr:cNvPr>
        <xdr:cNvPicPr>
          <a:picLocks noChangeAspect="1"/>
        </xdr:cNvPicPr>
      </xdr:nvPicPr>
      <xdr:blipFill rotWithShape="1">
        <a:blip xmlns:r="http://schemas.openxmlformats.org/officeDocument/2006/relationships" r:embed="rId10"/>
        <a:srcRect l="6049" t="8786"/>
        <a:stretch/>
      </xdr:blipFill>
      <xdr:spPr>
        <a:xfrm>
          <a:off x="7618678" y="40714333"/>
          <a:ext cx="1168067" cy="860148"/>
        </a:xfrm>
        <a:prstGeom prst="rect">
          <a:avLst/>
        </a:prstGeom>
      </xdr:spPr>
    </xdr:pic>
    <xdr:clientData/>
  </xdr:twoCellAnchor>
  <xdr:twoCellAnchor editAs="oneCell">
    <xdr:from>
      <xdr:col>3</xdr:col>
      <xdr:colOff>977152</xdr:colOff>
      <xdr:row>141</xdr:row>
      <xdr:rowOff>1638300</xdr:rowOff>
    </xdr:from>
    <xdr:to>
      <xdr:col>5</xdr:col>
      <xdr:colOff>679434</xdr:colOff>
      <xdr:row>141</xdr:row>
      <xdr:rowOff>2613210</xdr:rowOff>
    </xdr:to>
    <xdr:pic>
      <xdr:nvPicPr>
        <xdr:cNvPr id="31" name="Imagen 30">
          <a:extLst>
            <a:ext uri="{FF2B5EF4-FFF2-40B4-BE49-F238E27FC236}">
              <a16:creationId xmlns:a16="http://schemas.microsoft.com/office/drawing/2014/main" id="{1A0CF798-1212-4561-BB4E-B1789FC30BD6}"/>
            </a:ext>
          </a:extLst>
        </xdr:cNvPr>
        <xdr:cNvPicPr>
          <a:picLocks noChangeAspect="1"/>
        </xdr:cNvPicPr>
      </xdr:nvPicPr>
      <xdr:blipFill rotWithShape="1">
        <a:blip xmlns:r="http://schemas.openxmlformats.org/officeDocument/2006/relationships" r:embed="rId3"/>
        <a:srcRect l="4422" t="16538" r="736" b="-178"/>
        <a:stretch/>
      </xdr:blipFill>
      <xdr:spPr>
        <a:xfrm>
          <a:off x="5291977" y="39376350"/>
          <a:ext cx="1835882" cy="974910"/>
        </a:xfrm>
        <a:prstGeom prst="rect">
          <a:avLst/>
        </a:prstGeom>
      </xdr:spPr>
    </xdr:pic>
    <xdr:clientData/>
  </xdr:twoCellAnchor>
  <xdr:twoCellAnchor editAs="oneCell">
    <xdr:from>
      <xdr:col>5</xdr:col>
      <xdr:colOff>1087330</xdr:colOff>
      <xdr:row>141</xdr:row>
      <xdr:rowOff>1761566</xdr:rowOff>
    </xdr:from>
    <xdr:to>
      <xdr:col>6</xdr:col>
      <xdr:colOff>636147</xdr:colOff>
      <xdr:row>141</xdr:row>
      <xdr:rowOff>2621714</xdr:rowOff>
    </xdr:to>
    <xdr:pic>
      <xdr:nvPicPr>
        <xdr:cNvPr id="32" name="Imagen 31">
          <a:extLst>
            <a:ext uri="{FF2B5EF4-FFF2-40B4-BE49-F238E27FC236}">
              <a16:creationId xmlns:a16="http://schemas.microsoft.com/office/drawing/2014/main" id="{18966C16-6166-4089-8700-0D5489A65421}"/>
            </a:ext>
          </a:extLst>
        </xdr:cNvPr>
        <xdr:cNvPicPr>
          <a:picLocks noChangeAspect="1"/>
        </xdr:cNvPicPr>
      </xdr:nvPicPr>
      <xdr:blipFill rotWithShape="1">
        <a:blip xmlns:r="http://schemas.openxmlformats.org/officeDocument/2006/relationships" r:embed="rId10"/>
        <a:srcRect l="6049" t="8786"/>
        <a:stretch/>
      </xdr:blipFill>
      <xdr:spPr>
        <a:xfrm>
          <a:off x="7535755" y="39499616"/>
          <a:ext cx="1168067" cy="860148"/>
        </a:xfrm>
        <a:prstGeom prst="rect">
          <a:avLst/>
        </a:prstGeom>
      </xdr:spPr>
    </xdr:pic>
    <xdr:clientData/>
  </xdr:twoCellAnchor>
  <xdr:twoCellAnchor editAs="oneCell">
    <xdr:from>
      <xdr:col>3</xdr:col>
      <xdr:colOff>838199</xdr:colOff>
      <xdr:row>141</xdr:row>
      <xdr:rowOff>569258</xdr:rowOff>
    </xdr:from>
    <xdr:to>
      <xdr:col>5</xdr:col>
      <xdr:colOff>540481</xdr:colOff>
      <xdr:row>141</xdr:row>
      <xdr:rowOff>1544168</xdr:rowOff>
    </xdr:to>
    <xdr:pic>
      <xdr:nvPicPr>
        <xdr:cNvPr id="33" name="Imagen 32">
          <a:extLst>
            <a:ext uri="{FF2B5EF4-FFF2-40B4-BE49-F238E27FC236}">
              <a16:creationId xmlns:a16="http://schemas.microsoft.com/office/drawing/2014/main" id="{FFF9EC96-079F-4FF5-89A7-E5F843C7BC11}"/>
            </a:ext>
          </a:extLst>
        </xdr:cNvPr>
        <xdr:cNvPicPr>
          <a:picLocks noChangeAspect="1"/>
        </xdr:cNvPicPr>
      </xdr:nvPicPr>
      <xdr:blipFill rotWithShape="1">
        <a:blip xmlns:r="http://schemas.openxmlformats.org/officeDocument/2006/relationships" r:embed="rId3"/>
        <a:srcRect l="4422" t="16538" r="736" b="-178"/>
        <a:stretch/>
      </xdr:blipFill>
      <xdr:spPr>
        <a:xfrm>
          <a:off x="5153024" y="38307308"/>
          <a:ext cx="1835882" cy="974910"/>
        </a:xfrm>
        <a:prstGeom prst="rect">
          <a:avLst/>
        </a:prstGeom>
      </xdr:spPr>
    </xdr:pic>
    <xdr:clientData/>
  </xdr:twoCellAnchor>
  <xdr:twoCellAnchor>
    <xdr:from>
      <xdr:col>5</xdr:col>
      <xdr:colOff>728383</xdr:colOff>
      <xdr:row>141</xdr:row>
      <xdr:rowOff>1860176</xdr:rowOff>
    </xdr:from>
    <xdr:to>
      <xdr:col>5</xdr:col>
      <xdr:colOff>1243854</xdr:colOff>
      <xdr:row>141</xdr:row>
      <xdr:rowOff>2259105</xdr:rowOff>
    </xdr:to>
    <xdr:sp macro="" textlink="">
      <xdr:nvSpPr>
        <xdr:cNvPr id="34" name="Signo más 33">
          <a:extLst>
            <a:ext uri="{FF2B5EF4-FFF2-40B4-BE49-F238E27FC236}">
              <a16:creationId xmlns:a16="http://schemas.microsoft.com/office/drawing/2014/main" id="{8EB52499-EF5C-4E82-87E6-C5DD24D9C51B}"/>
            </a:ext>
          </a:extLst>
        </xdr:cNvPr>
        <xdr:cNvSpPr/>
      </xdr:nvSpPr>
      <xdr:spPr>
        <a:xfrm>
          <a:off x="7176808" y="39598226"/>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141</xdr:row>
      <xdr:rowOff>3133164</xdr:rowOff>
    </xdr:from>
    <xdr:to>
      <xdr:col>5</xdr:col>
      <xdr:colOff>1284195</xdr:colOff>
      <xdr:row>141</xdr:row>
      <xdr:rowOff>3532093</xdr:rowOff>
    </xdr:to>
    <xdr:sp macro="" textlink="">
      <xdr:nvSpPr>
        <xdr:cNvPr id="35" name="Signo más 34">
          <a:extLst>
            <a:ext uri="{FF2B5EF4-FFF2-40B4-BE49-F238E27FC236}">
              <a16:creationId xmlns:a16="http://schemas.microsoft.com/office/drawing/2014/main" id="{735A4656-BB14-4DFB-AAE4-80D6A3EF0638}"/>
            </a:ext>
          </a:extLst>
        </xdr:cNvPr>
        <xdr:cNvSpPr/>
      </xdr:nvSpPr>
      <xdr:spPr>
        <a:xfrm>
          <a:off x="7217149" y="40871214"/>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141</xdr:row>
      <xdr:rowOff>4406152</xdr:rowOff>
    </xdr:from>
    <xdr:to>
      <xdr:col>5</xdr:col>
      <xdr:colOff>1313331</xdr:colOff>
      <xdr:row>141</xdr:row>
      <xdr:rowOff>4805081</xdr:rowOff>
    </xdr:to>
    <xdr:sp macro="" textlink="">
      <xdr:nvSpPr>
        <xdr:cNvPr id="36" name="Signo más 35">
          <a:extLst>
            <a:ext uri="{FF2B5EF4-FFF2-40B4-BE49-F238E27FC236}">
              <a16:creationId xmlns:a16="http://schemas.microsoft.com/office/drawing/2014/main" id="{614DAED6-B770-44C7-A64B-28B84D33B20A}"/>
            </a:ext>
          </a:extLst>
        </xdr:cNvPr>
        <xdr:cNvSpPr/>
      </xdr:nvSpPr>
      <xdr:spPr>
        <a:xfrm>
          <a:off x="7246285" y="42144202"/>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567018</xdr:colOff>
      <xdr:row>141</xdr:row>
      <xdr:rowOff>757517</xdr:rowOff>
    </xdr:from>
    <xdr:to>
      <xdr:col>5</xdr:col>
      <xdr:colOff>1082489</xdr:colOff>
      <xdr:row>141</xdr:row>
      <xdr:rowOff>1156446</xdr:rowOff>
    </xdr:to>
    <xdr:sp macro="" textlink="">
      <xdr:nvSpPr>
        <xdr:cNvPr id="37" name="Signo más 36">
          <a:extLst>
            <a:ext uri="{FF2B5EF4-FFF2-40B4-BE49-F238E27FC236}">
              <a16:creationId xmlns:a16="http://schemas.microsoft.com/office/drawing/2014/main" id="{FF7D8E5C-D161-44F9-865F-2C56FE184953}"/>
            </a:ext>
          </a:extLst>
        </xdr:cNvPr>
        <xdr:cNvSpPr/>
      </xdr:nvSpPr>
      <xdr:spPr>
        <a:xfrm>
          <a:off x="7015443" y="38495567"/>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8" name="Conector recto de flecha 37">
          <a:extLst>
            <a:ext uri="{FF2B5EF4-FFF2-40B4-BE49-F238E27FC236}">
              <a16:creationId xmlns:a16="http://schemas.microsoft.com/office/drawing/2014/main" id="{7C7FE541-CC97-4272-A607-F3321901B1CA}"/>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141</xdr:row>
      <xdr:rowOff>2734236</xdr:rowOff>
    </xdr:from>
    <xdr:to>
      <xdr:col>4</xdr:col>
      <xdr:colOff>549088</xdr:colOff>
      <xdr:row>141</xdr:row>
      <xdr:rowOff>3104030</xdr:rowOff>
    </xdr:to>
    <xdr:cxnSp macro="">
      <xdr:nvCxnSpPr>
        <xdr:cNvPr id="39" name="Conector recto de flecha 38">
          <a:extLst>
            <a:ext uri="{FF2B5EF4-FFF2-40B4-BE49-F238E27FC236}">
              <a16:creationId xmlns:a16="http://schemas.microsoft.com/office/drawing/2014/main" id="{03C5AA6E-2734-4E98-8BAF-503636967D50}"/>
            </a:ext>
          </a:extLst>
        </xdr:cNvPr>
        <xdr:cNvCxnSpPr/>
      </xdr:nvCxnSpPr>
      <xdr:spPr>
        <a:xfrm>
          <a:off x="4975972" y="40472286"/>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141</xdr:row>
      <xdr:rowOff>2125755</xdr:rowOff>
    </xdr:from>
    <xdr:to>
      <xdr:col>3</xdr:col>
      <xdr:colOff>977152</xdr:colOff>
      <xdr:row>141</xdr:row>
      <xdr:rowOff>2203077</xdr:rowOff>
    </xdr:to>
    <xdr:cxnSp macro="">
      <xdr:nvCxnSpPr>
        <xdr:cNvPr id="40" name="Conector recto de flecha 39">
          <a:extLst>
            <a:ext uri="{FF2B5EF4-FFF2-40B4-BE49-F238E27FC236}">
              <a16:creationId xmlns:a16="http://schemas.microsoft.com/office/drawing/2014/main" id="{5C234DEC-0886-4040-96CB-3954294E6CAA}"/>
            </a:ext>
          </a:extLst>
        </xdr:cNvPr>
        <xdr:cNvCxnSpPr>
          <a:endCxn id="31" idx="1"/>
        </xdr:cNvCxnSpPr>
      </xdr:nvCxnSpPr>
      <xdr:spPr>
        <a:xfrm flipV="1">
          <a:off x="4881843" y="39863805"/>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141</xdr:row>
      <xdr:rowOff>1199030</xdr:rowOff>
    </xdr:from>
    <xdr:to>
      <xdr:col>3</xdr:col>
      <xdr:colOff>818029</xdr:colOff>
      <xdr:row>141</xdr:row>
      <xdr:rowOff>1414183</xdr:rowOff>
    </xdr:to>
    <xdr:cxnSp macro="">
      <xdr:nvCxnSpPr>
        <xdr:cNvPr id="41" name="Conector recto de flecha 40">
          <a:extLst>
            <a:ext uri="{FF2B5EF4-FFF2-40B4-BE49-F238E27FC236}">
              <a16:creationId xmlns:a16="http://schemas.microsoft.com/office/drawing/2014/main" id="{4EFABAA1-B44A-4FDE-8E57-AD56105D0777}"/>
            </a:ext>
          </a:extLst>
        </xdr:cNvPr>
        <xdr:cNvCxnSpPr/>
      </xdr:nvCxnSpPr>
      <xdr:spPr>
        <a:xfrm flipV="1">
          <a:off x="4586007" y="38937080"/>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605116</xdr:colOff>
      <xdr:row>0</xdr:row>
      <xdr:rowOff>93682</xdr:rowOff>
    </xdr:from>
    <xdr:to>
      <xdr:col>7</xdr:col>
      <xdr:colOff>997324</xdr:colOff>
      <xdr:row>0</xdr:row>
      <xdr:rowOff>1503151</xdr:rowOff>
    </xdr:to>
    <xdr:pic>
      <xdr:nvPicPr>
        <xdr:cNvPr id="42" name="Imagen 41">
          <a:extLst>
            <a:ext uri="{FF2B5EF4-FFF2-40B4-BE49-F238E27FC236}">
              <a16:creationId xmlns:a16="http://schemas.microsoft.com/office/drawing/2014/main" id="{F4467B0A-8BF4-4644-A7D5-01ADB6C182B1}"/>
            </a:ext>
          </a:extLst>
        </xdr:cNvPr>
        <xdr:cNvPicPr>
          <a:picLocks noChangeAspect="1"/>
        </xdr:cNvPicPr>
      </xdr:nvPicPr>
      <xdr:blipFill rotWithShape="1">
        <a:blip xmlns:r="http://schemas.openxmlformats.org/officeDocument/2006/relationships" r:embed="rId11"/>
        <a:srcRect t="4420" r="5369"/>
        <a:stretch/>
      </xdr:blipFill>
      <xdr:spPr>
        <a:xfrm>
          <a:off x="8672791" y="93682"/>
          <a:ext cx="1840008" cy="1409469"/>
        </a:xfrm>
        <a:prstGeom prst="rect">
          <a:avLst/>
        </a:prstGeom>
      </xdr:spPr>
    </xdr:pic>
    <xdr:clientData/>
  </xdr:twoCellAnchor>
  <xdr:oneCellAnchor>
    <xdr:from>
      <xdr:col>4</xdr:col>
      <xdr:colOff>515471</xdr:colOff>
      <xdr:row>142</xdr:row>
      <xdr:rowOff>203946</xdr:rowOff>
    </xdr:from>
    <xdr:ext cx="1445561" cy="258805"/>
    <xdr:sp macro="" textlink="">
      <xdr:nvSpPr>
        <xdr:cNvPr id="43" name="CuadroTexto 42">
          <a:extLst>
            <a:ext uri="{FF2B5EF4-FFF2-40B4-BE49-F238E27FC236}">
              <a16:creationId xmlns:a16="http://schemas.microsoft.com/office/drawing/2014/main" id="{D57CAA64-C23A-498A-8CD1-6288781E2D1C}"/>
            </a:ext>
          </a:extLst>
        </xdr:cNvPr>
        <xdr:cNvSpPr txBox="1"/>
      </xdr:nvSpPr>
      <xdr:spPr>
        <a:xfrm>
          <a:off x="5897096" y="42875946"/>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4</xdr:col>
      <xdr:colOff>914401</xdr:colOff>
      <xdr:row>141</xdr:row>
      <xdr:rowOff>3796552</xdr:rowOff>
    </xdr:from>
    <xdr:ext cx="1618131" cy="274492"/>
    <xdr:sp macro="" textlink="">
      <xdr:nvSpPr>
        <xdr:cNvPr id="44" name="CuadroTexto 43">
          <a:extLst>
            <a:ext uri="{FF2B5EF4-FFF2-40B4-BE49-F238E27FC236}">
              <a16:creationId xmlns:a16="http://schemas.microsoft.com/office/drawing/2014/main" id="{26D10F43-68F7-4044-9D75-035A3FE25C01}"/>
            </a:ext>
          </a:extLst>
        </xdr:cNvPr>
        <xdr:cNvSpPr txBox="1"/>
      </xdr:nvSpPr>
      <xdr:spPr>
        <a:xfrm>
          <a:off x="6296026" y="41534602"/>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4</xdr:col>
      <xdr:colOff>898713</xdr:colOff>
      <xdr:row>141</xdr:row>
      <xdr:rowOff>2480982</xdr:rowOff>
    </xdr:from>
    <xdr:ext cx="1618131" cy="274492"/>
    <xdr:sp macro="" textlink="">
      <xdr:nvSpPr>
        <xdr:cNvPr id="45" name="CuadroTexto 44">
          <a:extLst>
            <a:ext uri="{FF2B5EF4-FFF2-40B4-BE49-F238E27FC236}">
              <a16:creationId xmlns:a16="http://schemas.microsoft.com/office/drawing/2014/main" id="{BBD927EB-4D14-43D1-A602-6D36A9D33E5E}"/>
            </a:ext>
          </a:extLst>
        </xdr:cNvPr>
        <xdr:cNvSpPr txBox="1"/>
      </xdr:nvSpPr>
      <xdr:spPr>
        <a:xfrm>
          <a:off x="6280338" y="40219032"/>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oneCellAnchor>
    <xdr:from>
      <xdr:col>5</xdr:col>
      <xdr:colOff>76202</xdr:colOff>
      <xdr:row>141</xdr:row>
      <xdr:rowOff>1277470</xdr:rowOff>
    </xdr:from>
    <xdr:ext cx="1618131" cy="274492"/>
    <xdr:sp macro="" textlink="">
      <xdr:nvSpPr>
        <xdr:cNvPr id="46" name="CuadroTexto 45">
          <a:extLst>
            <a:ext uri="{FF2B5EF4-FFF2-40B4-BE49-F238E27FC236}">
              <a16:creationId xmlns:a16="http://schemas.microsoft.com/office/drawing/2014/main" id="{7825A0E0-6A1E-482F-89A1-8BF6D7487BF7}"/>
            </a:ext>
          </a:extLst>
        </xdr:cNvPr>
        <xdr:cNvSpPr txBox="1"/>
      </xdr:nvSpPr>
      <xdr:spPr>
        <a:xfrm>
          <a:off x="6524627" y="39015520"/>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ULTIMO NIVEL</a:t>
          </a:r>
        </a:p>
        <a:p>
          <a:pPr algn="ctr"/>
          <a:endParaRPr lang="es-PA" sz="1100"/>
        </a:p>
        <a:p>
          <a:endParaRPr lang="es-PA" sz="1100"/>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168088</xdr:colOff>
      <xdr:row>128</xdr:row>
      <xdr:rowOff>818030</xdr:rowOff>
    </xdr:from>
    <xdr:to>
      <xdr:col>3</xdr:col>
      <xdr:colOff>823614</xdr:colOff>
      <xdr:row>128</xdr:row>
      <xdr:rowOff>4381502</xdr:rowOff>
    </xdr:to>
    <xdr:pic>
      <xdr:nvPicPr>
        <xdr:cNvPr id="2" name="Imagen 1">
          <a:extLst>
            <a:ext uri="{FF2B5EF4-FFF2-40B4-BE49-F238E27FC236}">
              <a16:creationId xmlns:a16="http://schemas.microsoft.com/office/drawing/2014/main" id="{9C455581-E77E-4168-8709-269D50DD746B}"/>
            </a:ext>
          </a:extLst>
        </xdr:cNvPr>
        <xdr:cNvPicPr>
          <a:picLocks noChangeAspect="1"/>
        </xdr:cNvPicPr>
      </xdr:nvPicPr>
      <xdr:blipFill rotWithShape="1">
        <a:blip xmlns:r="http://schemas.openxmlformats.org/officeDocument/2006/relationships" r:embed="rId1"/>
        <a:srcRect l="2976" t="7939" r="1561" b="759"/>
        <a:stretch/>
      </xdr:blipFill>
      <xdr:spPr>
        <a:xfrm>
          <a:off x="168088" y="34622255"/>
          <a:ext cx="4970351" cy="3563472"/>
        </a:xfrm>
        <a:prstGeom prst="rect">
          <a:avLst/>
        </a:prstGeom>
      </xdr:spPr>
    </xdr:pic>
    <xdr:clientData/>
  </xdr:twoCellAnchor>
  <xdr:twoCellAnchor editAs="oneCell">
    <xdr:from>
      <xdr:col>4</xdr:col>
      <xdr:colOff>246528</xdr:colOff>
      <xdr:row>128</xdr:row>
      <xdr:rowOff>403411</xdr:rowOff>
    </xdr:from>
    <xdr:to>
      <xdr:col>6</xdr:col>
      <xdr:colOff>960672</xdr:colOff>
      <xdr:row>128</xdr:row>
      <xdr:rowOff>1111273</xdr:rowOff>
    </xdr:to>
    <xdr:pic>
      <xdr:nvPicPr>
        <xdr:cNvPr id="3" name="Imagen 2">
          <a:extLst>
            <a:ext uri="{FF2B5EF4-FFF2-40B4-BE49-F238E27FC236}">
              <a16:creationId xmlns:a16="http://schemas.microsoft.com/office/drawing/2014/main" id="{CD8FB454-081A-40B0-ADC1-3F0985CA67A2}"/>
            </a:ext>
          </a:extLst>
        </xdr:cNvPr>
        <xdr:cNvPicPr>
          <a:picLocks noChangeAspect="1"/>
        </xdr:cNvPicPr>
      </xdr:nvPicPr>
      <xdr:blipFill>
        <a:blip xmlns:r="http://schemas.openxmlformats.org/officeDocument/2006/relationships" r:embed="rId2"/>
        <a:stretch>
          <a:fillRect/>
        </a:stretch>
      </xdr:blipFill>
      <xdr:spPr>
        <a:xfrm>
          <a:off x="5628153" y="34207636"/>
          <a:ext cx="3400194" cy="707862"/>
        </a:xfrm>
        <a:prstGeom prst="rect">
          <a:avLst/>
        </a:prstGeom>
      </xdr:spPr>
    </xdr:pic>
    <xdr:clientData/>
  </xdr:twoCellAnchor>
  <xdr:twoCellAnchor editAs="oneCell">
    <xdr:from>
      <xdr:col>4</xdr:col>
      <xdr:colOff>-1</xdr:colOff>
      <xdr:row>128</xdr:row>
      <xdr:rowOff>4112558</xdr:rowOff>
    </xdr:from>
    <xdr:to>
      <xdr:col>5</xdr:col>
      <xdr:colOff>766840</xdr:colOff>
      <xdr:row>129</xdr:row>
      <xdr:rowOff>156880</xdr:rowOff>
    </xdr:to>
    <xdr:pic>
      <xdr:nvPicPr>
        <xdr:cNvPr id="4" name="Imagen 3">
          <a:extLst>
            <a:ext uri="{FF2B5EF4-FFF2-40B4-BE49-F238E27FC236}">
              <a16:creationId xmlns:a16="http://schemas.microsoft.com/office/drawing/2014/main" id="{B43DEE32-E3F2-4D51-AE10-408B20E5D893}"/>
            </a:ext>
          </a:extLst>
        </xdr:cNvPr>
        <xdr:cNvPicPr>
          <a:picLocks noChangeAspect="1"/>
        </xdr:cNvPicPr>
      </xdr:nvPicPr>
      <xdr:blipFill rotWithShape="1">
        <a:blip xmlns:r="http://schemas.openxmlformats.org/officeDocument/2006/relationships" r:embed="rId3"/>
        <a:srcRect l="4422" t="16538" r="736" b="-178"/>
        <a:stretch/>
      </xdr:blipFill>
      <xdr:spPr>
        <a:xfrm>
          <a:off x="5381624" y="37916783"/>
          <a:ext cx="1833641" cy="978272"/>
        </a:xfrm>
        <a:prstGeom prst="rect">
          <a:avLst/>
        </a:prstGeom>
      </xdr:spPr>
    </xdr:pic>
    <xdr:clientData/>
  </xdr:twoCellAnchor>
  <xdr:twoCellAnchor editAs="oneCell">
    <xdr:from>
      <xdr:col>6</xdr:col>
      <xdr:colOff>717177</xdr:colOff>
      <xdr:row>128</xdr:row>
      <xdr:rowOff>1979167</xdr:rowOff>
    </xdr:from>
    <xdr:to>
      <xdr:col>7</xdr:col>
      <xdr:colOff>1703294</xdr:colOff>
      <xdr:row>128</xdr:row>
      <xdr:rowOff>3657444</xdr:rowOff>
    </xdr:to>
    <xdr:pic>
      <xdr:nvPicPr>
        <xdr:cNvPr id="5" name="Imagen 4">
          <a:extLst>
            <a:ext uri="{FF2B5EF4-FFF2-40B4-BE49-F238E27FC236}">
              <a16:creationId xmlns:a16="http://schemas.microsoft.com/office/drawing/2014/main" id="{3585438C-36A5-4E7D-81EB-2FC1381A8768}"/>
            </a:ext>
          </a:extLst>
        </xdr:cNvPr>
        <xdr:cNvPicPr>
          <a:picLocks noChangeAspect="1"/>
        </xdr:cNvPicPr>
      </xdr:nvPicPr>
      <xdr:blipFill>
        <a:blip xmlns:r="http://schemas.openxmlformats.org/officeDocument/2006/relationships" r:embed="rId4"/>
        <a:stretch>
          <a:fillRect/>
        </a:stretch>
      </xdr:blipFill>
      <xdr:spPr>
        <a:xfrm>
          <a:off x="8784852" y="35783392"/>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6AAF5487-F7BE-416D-AECE-7A07B1EC017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158</xdr:row>
      <xdr:rowOff>66260</xdr:rowOff>
    </xdr:from>
    <xdr:to>
      <xdr:col>7</xdr:col>
      <xdr:colOff>1257836</xdr:colOff>
      <xdr:row>158</xdr:row>
      <xdr:rowOff>808463</xdr:rowOff>
    </xdr:to>
    <xdr:pic>
      <xdr:nvPicPr>
        <xdr:cNvPr id="7" name="Imagen 6" descr="Imagen de WhatsApp 2023-03-09 a las 17.44.48">
          <a:extLst>
            <a:ext uri="{FF2B5EF4-FFF2-40B4-BE49-F238E27FC236}">
              <a16:creationId xmlns:a16="http://schemas.microsoft.com/office/drawing/2014/main" id="{C35A7916-6E11-4CD3-ADF4-49FE6B23243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4728168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159</xdr:row>
      <xdr:rowOff>47625</xdr:rowOff>
    </xdr:from>
    <xdr:to>
      <xdr:col>7</xdr:col>
      <xdr:colOff>828675</xdr:colOff>
      <xdr:row>159</xdr:row>
      <xdr:rowOff>647700</xdr:rowOff>
    </xdr:to>
    <xdr:pic>
      <xdr:nvPicPr>
        <xdr:cNvPr id="8" name="Imagen 10">
          <a:extLst>
            <a:ext uri="{FF2B5EF4-FFF2-40B4-BE49-F238E27FC236}">
              <a16:creationId xmlns:a16="http://schemas.microsoft.com/office/drawing/2014/main" id="{1A27A026-26CE-407F-AF82-96282B1E082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4811077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128</xdr:row>
      <xdr:rowOff>424675</xdr:rowOff>
    </xdr:from>
    <xdr:to>
      <xdr:col>33</xdr:col>
      <xdr:colOff>287574</xdr:colOff>
      <xdr:row>128</xdr:row>
      <xdr:rowOff>2893219</xdr:rowOff>
    </xdr:to>
    <xdr:pic>
      <xdr:nvPicPr>
        <xdr:cNvPr id="9" name="Imagen 8">
          <a:extLst>
            <a:ext uri="{FF2B5EF4-FFF2-40B4-BE49-F238E27FC236}">
              <a16:creationId xmlns:a16="http://schemas.microsoft.com/office/drawing/2014/main" id="{D3A1F907-15B1-4754-828C-DF5B2A9C0C6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4228900"/>
          <a:ext cx="3692761" cy="2468544"/>
        </a:xfrm>
        <a:prstGeom prst="rect">
          <a:avLst/>
        </a:prstGeom>
      </xdr:spPr>
    </xdr:pic>
    <xdr:clientData/>
  </xdr:twoCellAnchor>
  <xdr:twoCellAnchor editAs="oneCell">
    <xdr:from>
      <xdr:col>25</xdr:col>
      <xdr:colOff>357188</xdr:colOff>
      <xdr:row>128</xdr:row>
      <xdr:rowOff>2428875</xdr:rowOff>
    </xdr:from>
    <xdr:to>
      <xdr:col>27</xdr:col>
      <xdr:colOff>610005</xdr:colOff>
      <xdr:row>128</xdr:row>
      <xdr:rowOff>4485482</xdr:rowOff>
    </xdr:to>
    <xdr:pic>
      <xdr:nvPicPr>
        <xdr:cNvPr id="10" name="Imagen 9">
          <a:extLst>
            <a:ext uri="{FF2B5EF4-FFF2-40B4-BE49-F238E27FC236}">
              <a16:creationId xmlns:a16="http://schemas.microsoft.com/office/drawing/2014/main" id="{7E610743-57AB-4119-A58F-F3A20BF7F3F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36233100"/>
          <a:ext cx="1757767" cy="2056607"/>
        </a:xfrm>
        <a:prstGeom prst="rect">
          <a:avLst/>
        </a:prstGeom>
      </xdr:spPr>
    </xdr:pic>
    <xdr:clientData/>
  </xdr:twoCellAnchor>
  <xdr:twoCellAnchor editAs="oneCell">
    <xdr:from>
      <xdr:col>9</xdr:col>
      <xdr:colOff>0</xdr:colOff>
      <xdr:row>128</xdr:row>
      <xdr:rowOff>0</xdr:rowOff>
    </xdr:from>
    <xdr:to>
      <xdr:col>9</xdr:col>
      <xdr:colOff>304800</xdr:colOff>
      <xdr:row>128</xdr:row>
      <xdr:rowOff>304800</xdr:rowOff>
    </xdr:to>
    <xdr:sp macro="" textlink="">
      <xdr:nvSpPr>
        <xdr:cNvPr id="11" name="AutoShape 1">
          <a:extLst>
            <a:ext uri="{FF2B5EF4-FFF2-40B4-BE49-F238E27FC236}">
              <a16:creationId xmlns:a16="http://schemas.microsoft.com/office/drawing/2014/main" id="{E3F50A8E-4D4F-4115-8FAA-6B83628E83C0}"/>
            </a:ext>
          </a:extLst>
        </xdr:cNvPr>
        <xdr:cNvSpPr>
          <a:spLocks noChangeAspect="1" noChangeArrowheads="1"/>
        </xdr:cNvSpPr>
      </xdr:nvSpPr>
      <xdr:spPr bwMode="auto">
        <a:xfrm>
          <a:off x="12496800" y="338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107</xdr:row>
      <xdr:rowOff>0</xdr:rowOff>
    </xdr:from>
    <xdr:to>
      <xdr:col>9</xdr:col>
      <xdr:colOff>304800</xdr:colOff>
      <xdr:row>107</xdr:row>
      <xdr:rowOff>301625</xdr:rowOff>
    </xdr:to>
    <xdr:sp macro="" textlink="">
      <xdr:nvSpPr>
        <xdr:cNvPr id="12" name="AutoShape 1">
          <a:extLst>
            <a:ext uri="{FF2B5EF4-FFF2-40B4-BE49-F238E27FC236}">
              <a16:creationId xmlns:a16="http://schemas.microsoft.com/office/drawing/2014/main" id="{D38143ED-D38E-4D3D-9174-B4B3FE72ACDD}"/>
            </a:ext>
          </a:extLst>
        </xdr:cNvPr>
        <xdr:cNvSpPr>
          <a:spLocks noChangeAspect="1" noChangeArrowheads="1"/>
        </xdr:cNvSpPr>
      </xdr:nvSpPr>
      <xdr:spPr bwMode="auto">
        <a:xfrm>
          <a:off x="12496800" y="26831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107</xdr:row>
      <xdr:rowOff>0</xdr:rowOff>
    </xdr:from>
    <xdr:to>
      <xdr:col>11</xdr:col>
      <xdr:colOff>304800</xdr:colOff>
      <xdr:row>107</xdr:row>
      <xdr:rowOff>301625</xdr:rowOff>
    </xdr:to>
    <xdr:sp macro="" textlink="">
      <xdr:nvSpPr>
        <xdr:cNvPr id="13" name="AutoShape 2">
          <a:extLst>
            <a:ext uri="{FF2B5EF4-FFF2-40B4-BE49-F238E27FC236}">
              <a16:creationId xmlns:a16="http://schemas.microsoft.com/office/drawing/2014/main" id="{D0F1FACD-D61D-478E-BB4F-23388793F996}"/>
            </a:ext>
          </a:extLst>
        </xdr:cNvPr>
        <xdr:cNvSpPr>
          <a:spLocks noChangeAspect="1" noChangeArrowheads="1"/>
        </xdr:cNvSpPr>
      </xdr:nvSpPr>
      <xdr:spPr bwMode="auto">
        <a:xfrm>
          <a:off x="14916150" y="26831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128</xdr:row>
      <xdr:rowOff>3451412</xdr:rowOff>
    </xdr:from>
    <xdr:to>
      <xdr:col>4</xdr:col>
      <xdr:colOff>493058</xdr:colOff>
      <xdr:row>128</xdr:row>
      <xdr:rowOff>4303059</xdr:rowOff>
    </xdr:to>
    <xdr:cxnSp macro="">
      <xdr:nvCxnSpPr>
        <xdr:cNvPr id="14" name="Conector recto de flecha 13">
          <a:extLst>
            <a:ext uri="{FF2B5EF4-FFF2-40B4-BE49-F238E27FC236}">
              <a16:creationId xmlns:a16="http://schemas.microsoft.com/office/drawing/2014/main" id="{CB616777-197C-4097-853E-EDCD4C779197}"/>
            </a:ext>
          </a:extLst>
        </xdr:cNvPr>
        <xdr:cNvCxnSpPr/>
      </xdr:nvCxnSpPr>
      <xdr:spPr>
        <a:xfrm>
          <a:off x="4707031" y="37255637"/>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128</xdr:row>
      <xdr:rowOff>2577353</xdr:rowOff>
    </xdr:from>
    <xdr:ext cx="773207" cy="448236"/>
    <xdr:sp macro="" textlink="">
      <xdr:nvSpPr>
        <xdr:cNvPr id="15" name="CuadroTexto 14">
          <a:extLst>
            <a:ext uri="{FF2B5EF4-FFF2-40B4-BE49-F238E27FC236}">
              <a16:creationId xmlns:a16="http://schemas.microsoft.com/office/drawing/2014/main" id="{E7E59699-6141-4EC1-BAA4-18AC512EA051}"/>
            </a:ext>
          </a:extLst>
        </xdr:cNvPr>
        <xdr:cNvSpPr txBox="1"/>
      </xdr:nvSpPr>
      <xdr:spPr>
        <a:xfrm>
          <a:off x="8986557" y="36381578"/>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128</xdr:row>
      <xdr:rowOff>4647028</xdr:rowOff>
    </xdr:from>
    <xdr:ext cx="896472" cy="261149"/>
    <xdr:sp macro="" textlink="">
      <xdr:nvSpPr>
        <xdr:cNvPr id="16" name="CuadroTexto 15">
          <a:extLst>
            <a:ext uri="{FF2B5EF4-FFF2-40B4-BE49-F238E27FC236}">
              <a16:creationId xmlns:a16="http://schemas.microsoft.com/office/drawing/2014/main" id="{BE6FC0B1-9455-434C-AB1D-71C58100AF76}"/>
            </a:ext>
          </a:extLst>
        </xdr:cNvPr>
        <xdr:cNvSpPr txBox="1"/>
      </xdr:nvSpPr>
      <xdr:spPr>
        <a:xfrm>
          <a:off x="21488958" y="38451253"/>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5</xdr:col>
      <xdr:colOff>912157</xdr:colOff>
      <xdr:row>128</xdr:row>
      <xdr:rowOff>1224854</xdr:rowOff>
    </xdr:from>
    <xdr:ext cx="1650073" cy="243117"/>
    <xdr:sp macro="" textlink="">
      <xdr:nvSpPr>
        <xdr:cNvPr id="17" name="CuadroTexto 16">
          <a:extLst>
            <a:ext uri="{FF2B5EF4-FFF2-40B4-BE49-F238E27FC236}">
              <a16:creationId xmlns:a16="http://schemas.microsoft.com/office/drawing/2014/main" id="{AD8F0E14-5566-4006-B271-195055A17D3C}"/>
            </a:ext>
          </a:extLst>
        </xdr:cNvPr>
        <xdr:cNvSpPr txBox="1"/>
      </xdr:nvSpPr>
      <xdr:spPr>
        <a:xfrm>
          <a:off x="7360582" y="35029079"/>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791700</xdr:colOff>
      <xdr:row>128</xdr:row>
      <xdr:rowOff>436495</xdr:rowOff>
    </xdr:from>
    <xdr:to>
      <xdr:col>5</xdr:col>
      <xdr:colOff>168087</xdr:colOff>
      <xdr:row>128</xdr:row>
      <xdr:rowOff>616324</xdr:rowOff>
    </xdr:to>
    <xdr:cxnSp macro="">
      <xdr:nvCxnSpPr>
        <xdr:cNvPr id="18" name="Conector recto de flecha 17">
          <a:extLst>
            <a:ext uri="{FF2B5EF4-FFF2-40B4-BE49-F238E27FC236}">
              <a16:creationId xmlns:a16="http://schemas.microsoft.com/office/drawing/2014/main" id="{B5D360B9-8B65-423D-98CA-FD96CDD964CC}"/>
            </a:ext>
          </a:extLst>
        </xdr:cNvPr>
        <xdr:cNvCxnSpPr>
          <a:stCxn id="20" idx="3"/>
        </xdr:cNvCxnSpPr>
      </xdr:nvCxnSpPr>
      <xdr:spPr>
        <a:xfrm>
          <a:off x="6173325" y="34240720"/>
          <a:ext cx="443187"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717176</xdr:colOff>
      <xdr:row>128</xdr:row>
      <xdr:rowOff>739588</xdr:rowOff>
    </xdr:from>
    <xdr:to>
      <xdr:col>6</xdr:col>
      <xdr:colOff>78723</xdr:colOff>
      <xdr:row>128</xdr:row>
      <xdr:rowOff>1224854</xdr:rowOff>
    </xdr:to>
    <xdr:cxnSp macro="">
      <xdr:nvCxnSpPr>
        <xdr:cNvPr id="19" name="Conector recto de flecha 18">
          <a:extLst>
            <a:ext uri="{FF2B5EF4-FFF2-40B4-BE49-F238E27FC236}">
              <a16:creationId xmlns:a16="http://schemas.microsoft.com/office/drawing/2014/main" id="{E0B4CF0D-CBBB-496A-9FDA-E432BC53C96D}"/>
            </a:ext>
          </a:extLst>
        </xdr:cNvPr>
        <xdr:cNvCxnSpPr/>
      </xdr:nvCxnSpPr>
      <xdr:spPr>
        <a:xfrm flipH="1" flipV="1">
          <a:off x="7165601" y="34543813"/>
          <a:ext cx="980797"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761998</xdr:colOff>
      <xdr:row>128</xdr:row>
      <xdr:rowOff>189430</xdr:rowOff>
    </xdr:from>
    <xdr:ext cx="1094261" cy="494129"/>
    <xdr:sp macro="" textlink="">
      <xdr:nvSpPr>
        <xdr:cNvPr id="20" name="CuadroTexto 19">
          <a:extLst>
            <a:ext uri="{FF2B5EF4-FFF2-40B4-BE49-F238E27FC236}">
              <a16:creationId xmlns:a16="http://schemas.microsoft.com/office/drawing/2014/main" id="{80186194-84B9-42CC-A04B-06F25E33D5BA}"/>
            </a:ext>
          </a:extLst>
        </xdr:cNvPr>
        <xdr:cNvSpPr txBox="1"/>
      </xdr:nvSpPr>
      <xdr:spPr>
        <a:xfrm>
          <a:off x="5076823" y="33993655"/>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128</xdr:row>
      <xdr:rowOff>4639235</xdr:rowOff>
    </xdr:from>
    <xdr:ext cx="2860309" cy="291039"/>
    <xdr:sp macro="" textlink="">
      <xdr:nvSpPr>
        <xdr:cNvPr id="21" name="CuadroTexto 20">
          <a:extLst>
            <a:ext uri="{FF2B5EF4-FFF2-40B4-BE49-F238E27FC236}">
              <a16:creationId xmlns:a16="http://schemas.microsoft.com/office/drawing/2014/main" id="{5A5016A6-1353-4457-9148-2F145096DBCB}"/>
            </a:ext>
          </a:extLst>
        </xdr:cNvPr>
        <xdr:cNvSpPr txBox="1"/>
      </xdr:nvSpPr>
      <xdr:spPr>
        <a:xfrm>
          <a:off x="728382" y="38443460"/>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128</xdr:row>
      <xdr:rowOff>4235824</xdr:rowOff>
    </xdr:from>
    <xdr:to>
      <xdr:col>6</xdr:col>
      <xdr:colOff>723553</xdr:colOff>
      <xdr:row>129</xdr:row>
      <xdr:rowOff>165384</xdr:rowOff>
    </xdr:to>
    <xdr:pic>
      <xdr:nvPicPr>
        <xdr:cNvPr id="22" name="Imagen 21">
          <a:extLst>
            <a:ext uri="{FF2B5EF4-FFF2-40B4-BE49-F238E27FC236}">
              <a16:creationId xmlns:a16="http://schemas.microsoft.com/office/drawing/2014/main" id="{1AD2B6FF-7587-4CBB-B309-AA81391A116F}"/>
            </a:ext>
          </a:extLst>
        </xdr:cNvPr>
        <xdr:cNvPicPr>
          <a:picLocks noChangeAspect="1"/>
        </xdr:cNvPicPr>
      </xdr:nvPicPr>
      <xdr:blipFill rotWithShape="1">
        <a:blip xmlns:r="http://schemas.openxmlformats.org/officeDocument/2006/relationships" r:embed="rId10"/>
        <a:srcRect l="6049" t="8786"/>
        <a:stretch/>
      </xdr:blipFill>
      <xdr:spPr>
        <a:xfrm>
          <a:off x="7623161" y="38040049"/>
          <a:ext cx="1168067" cy="863510"/>
        </a:xfrm>
        <a:prstGeom prst="rect">
          <a:avLst/>
        </a:prstGeom>
      </xdr:spPr>
    </xdr:pic>
    <xdr:clientData/>
  </xdr:twoCellAnchor>
  <xdr:oneCellAnchor>
    <xdr:from>
      <xdr:col>9</xdr:col>
      <xdr:colOff>0</xdr:colOff>
      <xdr:row>114</xdr:row>
      <xdr:rowOff>0</xdr:rowOff>
    </xdr:from>
    <xdr:ext cx="304800" cy="301625"/>
    <xdr:sp macro="" textlink="">
      <xdr:nvSpPr>
        <xdr:cNvPr id="23" name="AutoShape 1">
          <a:extLst>
            <a:ext uri="{FF2B5EF4-FFF2-40B4-BE49-F238E27FC236}">
              <a16:creationId xmlns:a16="http://schemas.microsoft.com/office/drawing/2014/main" id="{FDB4F685-D552-45DD-9CD4-A6E4D0B416DD}"/>
            </a:ext>
          </a:extLst>
        </xdr:cNvPr>
        <xdr:cNvSpPr>
          <a:spLocks noChangeAspect="1" noChangeArrowheads="1"/>
        </xdr:cNvSpPr>
      </xdr:nvSpPr>
      <xdr:spPr bwMode="auto">
        <a:xfrm>
          <a:off x="12496800" y="293084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114</xdr:row>
      <xdr:rowOff>0</xdr:rowOff>
    </xdr:from>
    <xdr:ext cx="304800" cy="301625"/>
    <xdr:sp macro="" textlink="">
      <xdr:nvSpPr>
        <xdr:cNvPr id="24" name="AutoShape 2">
          <a:extLst>
            <a:ext uri="{FF2B5EF4-FFF2-40B4-BE49-F238E27FC236}">
              <a16:creationId xmlns:a16="http://schemas.microsoft.com/office/drawing/2014/main" id="{DE612977-98D5-4B32-B3C9-E84000A34EEF}"/>
            </a:ext>
          </a:extLst>
        </xdr:cNvPr>
        <xdr:cNvSpPr>
          <a:spLocks noChangeAspect="1" noChangeArrowheads="1"/>
        </xdr:cNvSpPr>
      </xdr:nvSpPr>
      <xdr:spPr bwMode="auto">
        <a:xfrm>
          <a:off x="14916150" y="293084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121</xdr:row>
      <xdr:rowOff>0</xdr:rowOff>
    </xdr:from>
    <xdr:ext cx="304800" cy="301625"/>
    <xdr:sp macro="" textlink="">
      <xdr:nvSpPr>
        <xdr:cNvPr id="25" name="AutoShape 1">
          <a:extLst>
            <a:ext uri="{FF2B5EF4-FFF2-40B4-BE49-F238E27FC236}">
              <a16:creationId xmlns:a16="http://schemas.microsoft.com/office/drawing/2014/main" id="{ABD9443D-E880-4F5D-945E-D5012EA77248}"/>
            </a:ext>
          </a:extLst>
        </xdr:cNvPr>
        <xdr:cNvSpPr>
          <a:spLocks noChangeAspect="1" noChangeArrowheads="1"/>
        </xdr:cNvSpPr>
      </xdr:nvSpPr>
      <xdr:spPr bwMode="auto">
        <a:xfrm>
          <a:off x="12496800" y="31784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6" name="AutoShape 2">
          <a:extLst>
            <a:ext uri="{FF2B5EF4-FFF2-40B4-BE49-F238E27FC236}">
              <a16:creationId xmlns:a16="http://schemas.microsoft.com/office/drawing/2014/main" id="{99AE4AAE-5FCB-4054-B0A8-A5E3E6388904}"/>
            </a:ext>
          </a:extLst>
        </xdr:cNvPr>
        <xdr:cNvSpPr>
          <a:spLocks noChangeAspect="1" noChangeArrowheads="1"/>
        </xdr:cNvSpPr>
      </xdr:nvSpPr>
      <xdr:spPr bwMode="auto">
        <a:xfrm>
          <a:off x="14916150" y="31784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125</xdr:row>
      <xdr:rowOff>0</xdr:rowOff>
    </xdr:from>
    <xdr:ext cx="304800" cy="301625"/>
    <xdr:sp macro="" textlink="">
      <xdr:nvSpPr>
        <xdr:cNvPr id="27" name="AutoShape 1">
          <a:extLst>
            <a:ext uri="{FF2B5EF4-FFF2-40B4-BE49-F238E27FC236}">
              <a16:creationId xmlns:a16="http://schemas.microsoft.com/office/drawing/2014/main" id="{A7B93DE4-D7CD-428E-90E6-411EF2F71250}"/>
            </a:ext>
          </a:extLst>
        </xdr:cNvPr>
        <xdr:cNvSpPr>
          <a:spLocks noChangeAspect="1" noChangeArrowheads="1"/>
        </xdr:cNvSpPr>
      </xdr:nvSpPr>
      <xdr:spPr bwMode="auto">
        <a:xfrm>
          <a:off x="12496800" y="33175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xdr:row>
      <xdr:rowOff>0</xdr:rowOff>
    </xdr:from>
    <xdr:ext cx="304800" cy="301625"/>
    <xdr:sp macro="" textlink="">
      <xdr:nvSpPr>
        <xdr:cNvPr id="28" name="AutoShape 2">
          <a:extLst>
            <a:ext uri="{FF2B5EF4-FFF2-40B4-BE49-F238E27FC236}">
              <a16:creationId xmlns:a16="http://schemas.microsoft.com/office/drawing/2014/main" id="{3D6C274C-C8D5-47F8-B667-8DE7DAF3288D}"/>
            </a:ext>
          </a:extLst>
        </xdr:cNvPr>
        <xdr:cNvSpPr>
          <a:spLocks noChangeAspect="1" noChangeArrowheads="1"/>
        </xdr:cNvSpPr>
      </xdr:nvSpPr>
      <xdr:spPr bwMode="auto">
        <a:xfrm>
          <a:off x="14916150" y="33175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128</xdr:row>
      <xdr:rowOff>2853017</xdr:rowOff>
    </xdr:from>
    <xdr:to>
      <xdr:col>5</xdr:col>
      <xdr:colOff>762357</xdr:colOff>
      <xdr:row>128</xdr:row>
      <xdr:rowOff>3827927</xdr:rowOff>
    </xdr:to>
    <xdr:pic>
      <xdr:nvPicPr>
        <xdr:cNvPr id="29" name="Imagen 28">
          <a:extLst>
            <a:ext uri="{FF2B5EF4-FFF2-40B4-BE49-F238E27FC236}">
              <a16:creationId xmlns:a16="http://schemas.microsoft.com/office/drawing/2014/main" id="{217E75E5-C6D5-48E6-8DCC-F16DCF9467B0}"/>
            </a:ext>
          </a:extLst>
        </xdr:cNvPr>
        <xdr:cNvPicPr>
          <a:picLocks noChangeAspect="1"/>
        </xdr:cNvPicPr>
      </xdr:nvPicPr>
      <xdr:blipFill rotWithShape="1">
        <a:blip xmlns:r="http://schemas.openxmlformats.org/officeDocument/2006/relationships" r:embed="rId3"/>
        <a:srcRect l="4422" t="16538" r="736" b="-178"/>
        <a:stretch/>
      </xdr:blipFill>
      <xdr:spPr>
        <a:xfrm>
          <a:off x="5374900" y="36657242"/>
          <a:ext cx="1835882" cy="974910"/>
        </a:xfrm>
        <a:prstGeom prst="rect">
          <a:avLst/>
        </a:prstGeom>
      </xdr:spPr>
    </xdr:pic>
    <xdr:clientData/>
  </xdr:twoCellAnchor>
  <xdr:twoCellAnchor editAs="oneCell">
    <xdr:from>
      <xdr:col>5</xdr:col>
      <xdr:colOff>1170253</xdr:colOff>
      <xdr:row>128</xdr:row>
      <xdr:rowOff>2976283</xdr:rowOff>
    </xdr:from>
    <xdr:to>
      <xdr:col>6</xdr:col>
      <xdr:colOff>719070</xdr:colOff>
      <xdr:row>128</xdr:row>
      <xdr:rowOff>3836431</xdr:rowOff>
    </xdr:to>
    <xdr:pic>
      <xdr:nvPicPr>
        <xdr:cNvPr id="30" name="Imagen 29">
          <a:extLst>
            <a:ext uri="{FF2B5EF4-FFF2-40B4-BE49-F238E27FC236}">
              <a16:creationId xmlns:a16="http://schemas.microsoft.com/office/drawing/2014/main" id="{D07D245F-FB23-4677-AC42-62EBB1AE1969}"/>
            </a:ext>
          </a:extLst>
        </xdr:cNvPr>
        <xdr:cNvPicPr>
          <a:picLocks noChangeAspect="1"/>
        </xdr:cNvPicPr>
      </xdr:nvPicPr>
      <xdr:blipFill rotWithShape="1">
        <a:blip xmlns:r="http://schemas.openxmlformats.org/officeDocument/2006/relationships" r:embed="rId10"/>
        <a:srcRect l="6049" t="8786"/>
        <a:stretch/>
      </xdr:blipFill>
      <xdr:spPr>
        <a:xfrm>
          <a:off x="7618678" y="36780508"/>
          <a:ext cx="1168067" cy="860148"/>
        </a:xfrm>
        <a:prstGeom prst="rect">
          <a:avLst/>
        </a:prstGeom>
      </xdr:spPr>
    </xdr:pic>
    <xdr:clientData/>
  </xdr:twoCellAnchor>
  <xdr:twoCellAnchor editAs="oneCell">
    <xdr:from>
      <xdr:col>3</xdr:col>
      <xdr:colOff>977152</xdr:colOff>
      <xdr:row>128</xdr:row>
      <xdr:rowOff>1638300</xdr:rowOff>
    </xdr:from>
    <xdr:to>
      <xdr:col>5</xdr:col>
      <xdr:colOff>679434</xdr:colOff>
      <xdr:row>128</xdr:row>
      <xdr:rowOff>2613210</xdr:rowOff>
    </xdr:to>
    <xdr:pic>
      <xdr:nvPicPr>
        <xdr:cNvPr id="31" name="Imagen 30">
          <a:extLst>
            <a:ext uri="{FF2B5EF4-FFF2-40B4-BE49-F238E27FC236}">
              <a16:creationId xmlns:a16="http://schemas.microsoft.com/office/drawing/2014/main" id="{613D0C52-9D19-4604-A360-B4FDC0B73A53}"/>
            </a:ext>
          </a:extLst>
        </xdr:cNvPr>
        <xdr:cNvPicPr>
          <a:picLocks noChangeAspect="1"/>
        </xdr:cNvPicPr>
      </xdr:nvPicPr>
      <xdr:blipFill rotWithShape="1">
        <a:blip xmlns:r="http://schemas.openxmlformats.org/officeDocument/2006/relationships" r:embed="rId3"/>
        <a:srcRect l="4422" t="16538" r="736" b="-178"/>
        <a:stretch/>
      </xdr:blipFill>
      <xdr:spPr>
        <a:xfrm>
          <a:off x="5291977" y="35442525"/>
          <a:ext cx="1835882" cy="974910"/>
        </a:xfrm>
        <a:prstGeom prst="rect">
          <a:avLst/>
        </a:prstGeom>
      </xdr:spPr>
    </xdr:pic>
    <xdr:clientData/>
  </xdr:twoCellAnchor>
  <xdr:twoCellAnchor editAs="oneCell">
    <xdr:from>
      <xdr:col>5</xdr:col>
      <xdr:colOff>1087330</xdr:colOff>
      <xdr:row>128</xdr:row>
      <xdr:rowOff>1761566</xdr:rowOff>
    </xdr:from>
    <xdr:to>
      <xdr:col>6</xdr:col>
      <xdr:colOff>636147</xdr:colOff>
      <xdr:row>128</xdr:row>
      <xdr:rowOff>2621714</xdr:rowOff>
    </xdr:to>
    <xdr:pic>
      <xdr:nvPicPr>
        <xdr:cNvPr id="32" name="Imagen 31">
          <a:extLst>
            <a:ext uri="{FF2B5EF4-FFF2-40B4-BE49-F238E27FC236}">
              <a16:creationId xmlns:a16="http://schemas.microsoft.com/office/drawing/2014/main" id="{1325A24B-D803-4679-BDFC-DC35B58E7EE0}"/>
            </a:ext>
          </a:extLst>
        </xdr:cNvPr>
        <xdr:cNvPicPr>
          <a:picLocks noChangeAspect="1"/>
        </xdr:cNvPicPr>
      </xdr:nvPicPr>
      <xdr:blipFill rotWithShape="1">
        <a:blip xmlns:r="http://schemas.openxmlformats.org/officeDocument/2006/relationships" r:embed="rId10"/>
        <a:srcRect l="6049" t="8786"/>
        <a:stretch/>
      </xdr:blipFill>
      <xdr:spPr>
        <a:xfrm>
          <a:off x="7535755" y="35565791"/>
          <a:ext cx="1168067" cy="860148"/>
        </a:xfrm>
        <a:prstGeom prst="rect">
          <a:avLst/>
        </a:prstGeom>
      </xdr:spPr>
    </xdr:pic>
    <xdr:clientData/>
  </xdr:twoCellAnchor>
  <xdr:twoCellAnchor>
    <xdr:from>
      <xdr:col>5</xdr:col>
      <xdr:colOff>728383</xdr:colOff>
      <xdr:row>128</xdr:row>
      <xdr:rowOff>1860176</xdr:rowOff>
    </xdr:from>
    <xdr:to>
      <xdr:col>5</xdr:col>
      <xdr:colOff>1243854</xdr:colOff>
      <xdr:row>128</xdr:row>
      <xdr:rowOff>2259105</xdr:rowOff>
    </xdr:to>
    <xdr:sp macro="" textlink="">
      <xdr:nvSpPr>
        <xdr:cNvPr id="33" name="Signo más 32">
          <a:extLst>
            <a:ext uri="{FF2B5EF4-FFF2-40B4-BE49-F238E27FC236}">
              <a16:creationId xmlns:a16="http://schemas.microsoft.com/office/drawing/2014/main" id="{3BC50860-F6F8-4470-85AD-9ABC960094C0}"/>
            </a:ext>
          </a:extLst>
        </xdr:cNvPr>
        <xdr:cNvSpPr/>
      </xdr:nvSpPr>
      <xdr:spPr>
        <a:xfrm>
          <a:off x="7176808" y="35664401"/>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128</xdr:row>
      <xdr:rowOff>3133164</xdr:rowOff>
    </xdr:from>
    <xdr:to>
      <xdr:col>5</xdr:col>
      <xdr:colOff>1284195</xdr:colOff>
      <xdr:row>128</xdr:row>
      <xdr:rowOff>3532093</xdr:rowOff>
    </xdr:to>
    <xdr:sp macro="" textlink="">
      <xdr:nvSpPr>
        <xdr:cNvPr id="34" name="Signo más 33">
          <a:extLst>
            <a:ext uri="{FF2B5EF4-FFF2-40B4-BE49-F238E27FC236}">
              <a16:creationId xmlns:a16="http://schemas.microsoft.com/office/drawing/2014/main" id="{25A93FF1-F667-48A9-BD51-385D8CB6765E}"/>
            </a:ext>
          </a:extLst>
        </xdr:cNvPr>
        <xdr:cNvSpPr/>
      </xdr:nvSpPr>
      <xdr:spPr>
        <a:xfrm>
          <a:off x="7217149" y="36937389"/>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128</xdr:row>
      <xdr:rowOff>4406152</xdr:rowOff>
    </xdr:from>
    <xdr:to>
      <xdr:col>5</xdr:col>
      <xdr:colOff>1313331</xdr:colOff>
      <xdr:row>128</xdr:row>
      <xdr:rowOff>4805081</xdr:rowOff>
    </xdr:to>
    <xdr:sp macro="" textlink="">
      <xdr:nvSpPr>
        <xdr:cNvPr id="35" name="Signo más 34">
          <a:extLst>
            <a:ext uri="{FF2B5EF4-FFF2-40B4-BE49-F238E27FC236}">
              <a16:creationId xmlns:a16="http://schemas.microsoft.com/office/drawing/2014/main" id="{AAED57F1-7205-4F81-9851-7B14332EC189}"/>
            </a:ext>
          </a:extLst>
        </xdr:cNvPr>
        <xdr:cNvSpPr/>
      </xdr:nvSpPr>
      <xdr:spPr>
        <a:xfrm>
          <a:off x="7246285" y="38210377"/>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6" name="Conector recto de flecha 35">
          <a:extLst>
            <a:ext uri="{FF2B5EF4-FFF2-40B4-BE49-F238E27FC236}">
              <a16:creationId xmlns:a16="http://schemas.microsoft.com/office/drawing/2014/main" id="{7AE99704-136F-45C4-BF3B-7090A81281D9}"/>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128</xdr:row>
      <xdr:rowOff>2734236</xdr:rowOff>
    </xdr:from>
    <xdr:to>
      <xdr:col>4</xdr:col>
      <xdr:colOff>549088</xdr:colOff>
      <xdr:row>128</xdr:row>
      <xdr:rowOff>3104030</xdr:rowOff>
    </xdr:to>
    <xdr:cxnSp macro="">
      <xdr:nvCxnSpPr>
        <xdr:cNvPr id="37" name="Conector recto de flecha 36">
          <a:extLst>
            <a:ext uri="{FF2B5EF4-FFF2-40B4-BE49-F238E27FC236}">
              <a16:creationId xmlns:a16="http://schemas.microsoft.com/office/drawing/2014/main" id="{BB5D1BA7-469F-4086-8871-B2993C351FC2}"/>
            </a:ext>
          </a:extLst>
        </xdr:cNvPr>
        <xdr:cNvCxnSpPr/>
      </xdr:nvCxnSpPr>
      <xdr:spPr>
        <a:xfrm>
          <a:off x="4975972" y="36538461"/>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128</xdr:row>
      <xdr:rowOff>2125755</xdr:rowOff>
    </xdr:from>
    <xdr:to>
      <xdr:col>3</xdr:col>
      <xdr:colOff>977152</xdr:colOff>
      <xdr:row>128</xdr:row>
      <xdr:rowOff>2203077</xdr:rowOff>
    </xdr:to>
    <xdr:cxnSp macro="">
      <xdr:nvCxnSpPr>
        <xdr:cNvPr id="38" name="Conector recto de flecha 37">
          <a:extLst>
            <a:ext uri="{FF2B5EF4-FFF2-40B4-BE49-F238E27FC236}">
              <a16:creationId xmlns:a16="http://schemas.microsoft.com/office/drawing/2014/main" id="{DFD1222B-2BAF-4329-99EB-0012CCFDC0B4}"/>
            </a:ext>
          </a:extLst>
        </xdr:cNvPr>
        <xdr:cNvCxnSpPr>
          <a:endCxn id="31" idx="1"/>
        </xdr:cNvCxnSpPr>
      </xdr:nvCxnSpPr>
      <xdr:spPr>
        <a:xfrm flipV="1">
          <a:off x="4881843" y="35929980"/>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128</xdr:row>
      <xdr:rowOff>1199030</xdr:rowOff>
    </xdr:from>
    <xdr:to>
      <xdr:col>3</xdr:col>
      <xdr:colOff>818029</xdr:colOff>
      <xdr:row>128</xdr:row>
      <xdr:rowOff>1414183</xdr:rowOff>
    </xdr:to>
    <xdr:cxnSp macro="">
      <xdr:nvCxnSpPr>
        <xdr:cNvPr id="39" name="Conector recto de flecha 38">
          <a:extLst>
            <a:ext uri="{FF2B5EF4-FFF2-40B4-BE49-F238E27FC236}">
              <a16:creationId xmlns:a16="http://schemas.microsoft.com/office/drawing/2014/main" id="{75D40D47-64A3-4341-B9FD-447F1E61A7F6}"/>
            </a:ext>
          </a:extLst>
        </xdr:cNvPr>
        <xdr:cNvCxnSpPr/>
      </xdr:nvCxnSpPr>
      <xdr:spPr>
        <a:xfrm flipV="1">
          <a:off x="4586007" y="35003255"/>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605116</xdr:colOff>
      <xdr:row>0</xdr:row>
      <xdr:rowOff>93682</xdr:rowOff>
    </xdr:from>
    <xdr:to>
      <xdr:col>7</xdr:col>
      <xdr:colOff>997324</xdr:colOff>
      <xdr:row>0</xdr:row>
      <xdr:rowOff>1503151</xdr:rowOff>
    </xdr:to>
    <xdr:pic>
      <xdr:nvPicPr>
        <xdr:cNvPr id="40" name="Imagen 39">
          <a:extLst>
            <a:ext uri="{FF2B5EF4-FFF2-40B4-BE49-F238E27FC236}">
              <a16:creationId xmlns:a16="http://schemas.microsoft.com/office/drawing/2014/main" id="{322CDE59-EEBB-4997-B7A1-13D6F1286BBA}"/>
            </a:ext>
          </a:extLst>
        </xdr:cNvPr>
        <xdr:cNvPicPr>
          <a:picLocks noChangeAspect="1"/>
        </xdr:cNvPicPr>
      </xdr:nvPicPr>
      <xdr:blipFill rotWithShape="1">
        <a:blip xmlns:r="http://schemas.openxmlformats.org/officeDocument/2006/relationships" r:embed="rId11"/>
        <a:srcRect t="4420" r="5369"/>
        <a:stretch/>
      </xdr:blipFill>
      <xdr:spPr>
        <a:xfrm>
          <a:off x="8672791" y="93682"/>
          <a:ext cx="1840008" cy="1409469"/>
        </a:xfrm>
        <a:prstGeom prst="rect">
          <a:avLst/>
        </a:prstGeom>
      </xdr:spPr>
    </xdr:pic>
    <xdr:clientData/>
  </xdr:twoCellAnchor>
  <xdr:oneCellAnchor>
    <xdr:from>
      <xdr:col>3</xdr:col>
      <xdr:colOff>907673</xdr:colOff>
      <xdr:row>128</xdr:row>
      <xdr:rowOff>1231579</xdr:rowOff>
    </xdr:from>
    <xdr:ext cx="1972238" cy="303626"/>
    <xdr:sp macro="" textlink="">
      <xdr:nvSpPr>
        <xdr:cNvPr id="41" name="CuadroTexto 40">
          <a:extLst>
            <a:ext uri="{FF2B5EF4-FFF2-40B4-BE49-F238E27FC236}">
              <a16:creationId xmlns:a16="http://schemas.microsoft.com/office/drawing/2014/main" id="{560479BD-D2A5-4AAB-A5F5-C469463FB83A}"/>
            </a:ext>
          </a:extLst>
        </xdr:cNvPr>
        <xdr:cNvSpPr txBox="1"/>
      </xdr:nvSpPr>
      <xdr:spPr>
        <a:xfrm>
          <a:off x="5222498" y="35035804"/>
          <a:ext cx="1972238" cy="30362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1">
              <a:effectLst/>
            </a:rPr>
            <a:t>ADICIONALES ULTIMO NIVEL</a:t>
          </a:r>
        </a:p>
        <a:p>
          <a:pPr algn="ctr"/>
          <a:endParaRPr lang="es-PA" sz="1100"/>
        </a:p>
        <a:p>
          <a:endParaRPr lang="es-PA" sz="1100"/>
        </a:p>
      </xdr:txBody>
    </xdr:sp>
    <xdr:clientData/>
  </xdr:oneCellAnchor>
  <xdr:oneCellAnchor>
    <xdr:from>
      <xdr:col>4</xdr:col>
      <xdr:colOff>694762</xdr:colOff>
      <xdr:row>129</xdr:row>
      <xdr:rowOff>180467</xdr:rowOff>
    </xdr:from>
    <xdr:ext cx="1445561" cy="258805"/>
    <xdr:sp macro="" textlink="">
      <xdr:nvSpPr>
        <xdr:cNvPr id="42" name="CuadroTexto 41">
          <a:extLst>
            <a:ext uri="{FF2B5EF4-FFF2-40B4-BE49-F238E27FC236}">
              <a16:creationId xmlns:a16="http://schemas.microsoft.com/office/drawing/2014/main" id="{B62CA34D-62AB-48C5-98E1-B54DF931121B}"/>
            </a:ext>
          </a:extLst>
        </xdr:cNvPr>
        <xdr:cNvSpPr txBox="1"/>
      </xdr:nvSpPr>
      <xdr:spPr>
        <a:xfrm>
          <a:off x="6076387" y="38918642"/>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5</xdr:col>
      <xdr:colOff>29134</xdr:colOff>
      <xdr:row>128</xdr:row>
      <xdr:rowOff>3773073</xdr:rowOff>
    </xdr:from>
    <xdr:ext cx="1618131" cy="274492"/>
    <xdr:sp macro="" textlink="">
      <xdr:nvSpPr>
        <xdr:cNvPr id="43" name="CuadroTexto 42">
          <a:extLst>
            <a:ext uri="{FF2B5EF4-FFF2-40B4-BE49-F238E27FC236}">
              <a16:creationId xmlns:a16="http://schemas.microsoft.com/office/drawing/2014/main" id="{20528D01-7A8E-48CD-8208-7D3853382362}"/>
            </a:ext>
          </a:extLst>
        </xdr:cNvPr>
        <xdr:cNvSpPr txBox="1"/>
      </xdr:nvSpPr>
      <xdr:spPr>
        <a:xfrm>
          <a:off x="6477559" y="3757729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5</xdr:col>
      <xdr:colOff>13446</xdr:colOff>
      <xdr:row>128</xdr:row>
      <xdr:rowOff>2457503</xdr:rowOff>
    </xdr:from>
    <xdr:ext cx="1618131" cy="274492"/>
    <xdr:sp macro="" textlink="">
      <xdr:nvSpPr>
        <xdr:cNvPr id="44" name="CuadroTexto 43">
          <a:extLst>
            <a:ext uri="{FF2B5EF4-FFF2-40B4-BE49-F238E27FC236}">
              <a16:creationId xmlns:a16="http://schemas.microsoft.com/office/drawing/2014/main" id="{C0E39177-B8BD-4324-B2F0-388A17105FE5}"/>
            </a:ext>
          </a:extLst>
        </xdr:cNvPr>
        <xdr:cNvSpPr txBox="1"/>
      </xdr:nvSpPr>
      <xdr:spPr>
        <a:xfrm>
          <a:off x="6461871" y="3626172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168088</xdr:colOff>
      <xdr:row>128</xdr:row>
      <xdr:rowOff>818030</xdr:rowOff>
    </xdr:from>
    <xdr:to>
      <xdr:col>3</xdr:col>
      <xdr:colOff>823614</xdr:colOff>
      <xdr:row>128</xdr:row>
      <xdr:rowOff>4381502</xdr:rowOff>
    </xdr:to>
    <xdr:pic>
      <xdr:nvPicPr>
        <xdr:cNvPr id="2" name="Imagen 1">
          <a:extLst>
            <a:ext uri="{FF2B5EF4-FFF2-40B4-BE49-F238E27FC236}">
              <a16:creationId xmlns:a16="http://schemas.microsoft.com/office/drawing/2014/main" id="{C67FFF66-C644-4C38-B515-084D1C18E670}"/>
            </a:ext>
          </a:extLst>
        </xdr:cNvPr>
        <xdr:cNvPicPr>
          <a:picLocks noChangeAspect="1"/>
        </xdr:cNvPicPr>
      </xdr:nvPicPr>
      <xdr:blipFill rotWithShape="1">
        <a:blip xmlns:r="http://schemas.openxmlformats.org/officeDocument/2006/relationships" r:embed="rId1"/>
        <a:srcRect l="2976" t="7939" r="1561" b="759"/>
        <a:stretch/>
      </xdr:blipFill>
      <xdr:spPr>
        <a:xfrm>
          <a:off x="168088" y="34622255"/>
          <a:ext cx="4970351" cy="3563472"/>
        </a:xfrm>
        <a:prstGeom prst="rect">
          <a:avLst/>
        </a:prstGeom>
      </xdr:spPr>
    </xdr:pic>
    <xdr:clientData/>
  </xdr:twoCellAnchor>
  <xdr:twoCellAnchor editAs="oneCell">
    <xdr:from>
      <xdr:col>4</xdr:col>
      <xdr:colOff>246528</xdr:colOff>
      <xdr:row>128</xdr:row>
      <xdr:rowOff>403411</xdr:rowOff>
    </xdr:from>
    <xdr:to>
      <xdr:col>6</xdr:col>
      <xdr:colOff>960672</xdr:colOff>
      <xdr:row>128</xdr:row>
      <xdr:rowOff>1111273</xdr:rowOff>
    </xdr:to>
    <xdr:pic>
      <xdr:nvPicPr>
        <xdr:cNvPr id="3" name="Imagen 2">
          <a:extLst>
            <a:ext uri="{FF2B5EF4-FFF2-40B4-BE49-F238E27FC236}">
              <a16:creationId xmlns:a16="http://schemas.microsoft.com/office/drawing/2014/main" id="{44622A88-AFF2-4AA2-87EE-2C33F6BB7605}"/>
            </a:ext>
          </a:extLst>
        </xdr:cNvPr>
        <xdr:cNvPicPr>
          <a:picLocks noChangeAspect="1"/>
        </xdr:cNvPicPr>
      </xdr:nvPicPr>
      <xdr:blipFill>
        <a:blip xmlns:r="http://schemas.openxmlformats.org/officeDocument/2006/relationships" r:embed="rId2"/>
        <a:stretch>
          <a:fillRect/>
        </a:stretch>
      </xdr:blipFill>
      <xdr:spPr>
        <a:xfrm>
          <a:off x="5628153" y="34207636"/>
          <a:ext cx="3400194" cy="707862"/>
        </a:xfrm>
        <a:prstGeom prst="rect">
          <a:avLst/>
        </a:prstGeom>
      </xdr:spPr>
    </xdr:pic>
    <xdr:clientData/>
  </xdr:twoCellAnchor>
  <xdr:twoCellAnchor editAs="oneCell">
    <xdr:from>
      <xdr:col>4</xdr:col>
      <xdr:colOff>-1</xdr:colOff>
      <xdr:row>128</xdr:row>
      <xdr:rowOff>4112558</xdr:rowOff>
    </xdr:from>
    <xdr:to>
      <xdr:col>5</xdr:col>
      <xdr:colOff>766840</xdr:colOff>
      <xdr:row>129</xdr:row>
      <xdr:rowOff>156880</xdr:rowOff>
    </xdr:to>
    <xdr:pic>
      <xdr:nvPicPr>
        <xdr:cNvPr id="4" name="Imagen 3">
          <a:extLst>
            <a:ext uri="{FF2B5EF4-FFF2-40B4-BE49-F238E27FC236}">
              <a16:creationId xmlns:a16="http://schemas.microsoft.com/office/drawing/2014/main" id="{C40E658C-81D2-4C27-B4E8-E279B944EF01}"/>
            </a:ext>
          </a:extLst>
        </xdr:cNvPr>
        <xdr:cNvPicPr>
          <a:picLocks noChangeAspect="1"/>
        </xdr:cNvPicPr>
      </xdr:nvPicPr>
      <xdr:blipFill rotWithShape="1">
        <a:blip xmlns:r="http://schemas.openxmlformats.org/officeDocument/2006/relationships" r:embed="rId3"/>
        <a:srcRect l="4422" t="16538" r="736" b="-178"/>
        <a:stretch/>
      </xdr:blipFill>
      <xdr:spPr>
        <a:xfrm>
          <a:off x="5381624" y="37916783"/>
          <a:ext cx="1833641" cy="978272"/>
        </a:xfrm>
        <a:prstGeom prst="rect">
          <a:avLst/>
        </a:prstGeom>
      </xdr:spPr>
    </xdr:pic>
    <xdr:clientData/>
  </xdr:twoCellAnchor>
  <xdr:twoCellAnchor editAs="oneCell">
    <xdr:from>
      <xdr:col>6</xdr:col>
      <xdr:colOff>717177</xdr:colOff>
      <xdr:row>128</xdr:row>
      <xdr:rowOff>1979167</xdr:rowOff>
    </xdr:from>
    <xdr:to>
      <xdr:col>7</xdr:col>
      <xdr:colOff>1703294</xdr:colOff>
      <xdr:row>128</xdr:row>
      <xdr:rowOff>3657444</xdr:rowOff>
    </xdr:to>
    <xdr:pic>
      <xdr:nvPicPr>
        <xdr:cNvPr id="5" name="Imagen 4">
          <a:extLst>
            <a:ext uri="{FF2B5EF4-FFF2-40B4-BE49-F238E27FC236}">
              <a16:creationId xmlns:a16="http://schemas.microsoft.com/office/drawing/2014/main" id="{A2EA7CF9-F02B-44C6-AFE9-8C969752C6E7}"/>
            </a:ext>
          </a:extLst>
        </xdr:cNvPr>
        <xdr:cNvPicPr>
          <a:picLocks noChangeAspect="1"/>
        </xdr:cNvPicPr>
      </xdr:nvPicPr>
      <xdr:blipFill>
        <a:blip xmlns:r="http://schemas.openxmlformats.org/officeDocument/2006/relationships" r:embed="rId4"/>
        <a:stretch>
          <a:fillRect/>
        </a:stretch>
      </xdr:blipFill>
      <xdr:spPr>
        <a:xfrm>
          <a:off x="8784852" y="35783392"/>
          <a:ext cx="2433917" cy="1678277"/>
        </a:xfrm>
        <a:prstGeom prst="rect">
          <a:avLst/>
        </a:prstGeom>
      </xdr:spPr>
    </xdr:pic>
    <xdr:clientData/>
  </xdr:twoCellAnchor>
  <xdr:twoCellAnchor editAs="oneCell">
    <xdr:from>
      <xdr:col>0</xdr:col>
      <xdr:colOff>64434</xdr:colOff>
      <xdr:row>0</xdr:row>
      <xdr:rowOff>229721</xdr:rowOff>
    </xdr:from>
    <xdr:to>
      <xdr:col>1</xdr:col>
      <xdr:colOff>1002640</xdr:colOff>
      <xdr:row>0</xdr:row>
      <xdr:rowOff>1440703</xdr:rowOff>
    </xdr:to>
    <xdr:pic>
      <xdr:nvPicPr>
        <xdr:cNvPr id="6" name="Imagen 5" descr="logo-01.jpg">
          <a:extLst>
            <a:ext uri="{FF2B5EF4-FFF2-40B4-BE49-F238E27FC236}">
              <a16:creationId xmlns:a16="http://schemas.microsoft.com/office/drawing/2014/main" id="{00F9D9EC-D11C-42AE-9D36-5F05C2E9DCD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64434" y="229721"/>
          <a:ext cx="2024056" cy="1210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91418</xdr:colOff>
      <xdr:row>158</xdr:row>
      <xdr:rowOff>66260</xdr:rowOff>
    </xdr:from>
    <xdr:to>
      <xdr:col>7</xdr:col>
      <xdr:colOff>1257836</xdr:colOff>
      <xdr:row>158</xdr:row>
      <xdr:rowOff>808463</xdr:rowOff>
    </xdr:to>
    <xdr:pic>
      <xdr:nvPicPr>
        <xdr:cNvPr id="7" name="Imagen 6" descr="Imagen de WhatsApp 2023-03-09 a las 17.44.48">
          <a:extLst>
            <a:ext uri="{FF2B5EF4-FFF2-40B4-BE49-F238E27FC236}">
              <a16:creationId xmlns:a16="http://schemas.microsoft.com/office/drawing/2014/main" id="{EA195E6C-32FB-4514-A23E-2CB2D6A55C0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06893" y="47281685"/>
          <a:ext cx="1166418" cy="742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159</xdr:row>
      <xdr:rowOff>47625</xdr:rowOff>
    </xdr:from>
    <xdr:to>
      <xdr:col>7</xdr:col>
      <xdr:colOff>828675</xdr:colOff>
      <xdr:row>159</xdr:row>
      <xdr:rowOff>647700</xdr:rowOff>
    </xdr:to>
    <xdr:pic>
      <xdr:nvPicPr>
        <xdr:cNvPr id="8" name="Imagen 10">
          <a:extLst>
            <a:ext uri="{FF2B5EF4-FFF2-40B4-BE49-F238E27FC236}">
              <a16:creationId xmlns:a16="http://schemas.microsoft.com/office/drawing/2014/main" id="{CA78905E-B380-4B5B-87D9-224F37027D7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772650" y="4811077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128</xdr:row>
      <xdr:rowOff>424675</xdr:rowOff>
    </xdr:from>
    <xdr:to>
      <xdr:col>33</xdr:col>
      <xdr:colOff>287574</xdr:colOff>
      <xdr:row>128</xdr:row>
      <xdr:rowOff>2893219</xdr:rowOff>
    </xdr:to>
    <xdr:pic>
      <xdr:nvPicPr>
        <xdr:cNvPr id="9" name="Imagen 8">
          <a:extLst>
            <a:ext uri="{FF2B5EF4-FFF2-40B4-BE49-F238E27FC236}">
              <a16:creationId xmlns:a16="http://schemas.microsoft.com/office/drawing/2014/main" id="{531B4A7F-6F7C-4EEA-A0AD-5EF3C6BF702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922663" y="34228900"/>
          <a:ext cx="3692761" cy="2468544"/>
        </a:xfrm>
        <a:prstGeom prst="rect">
          <a:avLst/>
        </a:prstGeom>
      </xdr:spPr>
    </xdr:pic>
    <xdr:clientData/>
  </xdr:twoCellAnchor>
  <xdr:twoCellAnchor editAs="oneCell">
    <xdr:from>
      <xdr:col>25</xdr:col>
      <xdr:colOff>357188</xdr:colOff>
      <xdr:row>128</xdr:row>
      <xdr:rowOff>2428875</xdr:rowOff>
    </xdr:from>
    <xdr:to>
      <xdr:col>27</xdr:col>
      <xdr:colOff>610005</xdr:colOff>
      <xdr:row>128</xdr:row>
      <xdr:rowOff>4485482</xdr:rowOff>
    </xdr:to>
    <xdr:pic>
      <xdr:nvPicPr>
        <xdr:cNvPr id="10" name="Imagen 9">
          <a:extLst>
            <a:ext uri="{FF2B5EF4-FFF2-40B4-BE49-F238E27FC236}">
              <a16:creationId xmlns:a16="http://schemas.microsoft.com/office/drawing/2014/main" id="{62D9CC13-EA1F-44F0-8677-6124904A35A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16321" t="18170" r="14235" b="6922"/>
        <a:stretch>
          <a:fillRect/>
        </a:stretch>
      </xdr:blipFill>
      <xdr:spPr>
        <a:xfrm>
          <a:off x="26665238" y="36233100"/>
          <a:ext cx="1757767" cy="2056607"/>
        </a:xfrm>
        <a:prstGeom prst="rect">
          <a:avLst/>
        </a:prstGeom>
      </xdr:spPr>
    </xdr:pic>
    <xdr:clientData/>
  </xdr:twoCellAnchor>
  <xdr:twoCellAnchor editAs="oneCell">
    <xdr:from>
      <xdr:col>9</xdr:col>
      <xdr:colOff>0</xdr:colOff>
      <xdr:row>128</xdr:row>
      <xdr:rowOff>0</xdr:rowOff>
    </xdr:from>
    <xdr:to>
      <xdr:col>9</xdr:col>
      <xdr:colOff>304800</xdr:colOff>
      <xdr:row>128</xdr:row>
      <xdr:rowOff>304800</xdr:rowOff>
    </xdr:to>
    <xdr:sp macro="" textlink="">
      <xdr:nvSpPr>
        <xdr:cNvPr id="11" name="AutoShape 1">
          <a:extLst>
            <a:ext uri="{FF2B5EF4-FFF2-40B4-BE49-F238E27FC236}">
              <a16:creationId xmlns:a16="http://schemas.microsoft.com/office/drawing/2014/main" id="{37FD41E9-0A91-41E5-8260-4640C880BBAE}"/>
            </a:ext>
          </a:extLst>
        </xdr:cNvPr>
        <xdr:cNvSpPr>
          <a:spLocks noChangeAspect="1" noChangeArrowheads="1"/>
        </xdr:cNvSpPr>
      </xdr:nvSpPr>
      <xdr:spPr bwMode="auto">
        <a:xfrm>
          <a:off x="12496800" y="338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107</xdr:row>
      <xdr:rowOff>0</xdr:rowOff>
    </xdr:from>
    <xdr:to>
      <xdr:col>9</xdr:col>
      <xdr:colOff>304800</xdr:colOff>
      <xdr:row>107</xdr:row>
      <xdr:rowOff>301625</xdr:rowOff>
    </xdr:to>
    <xdr:sp macro="" textlink="">
      <xdr:nvSpPr>
        <xdr:cNvPr id="12" name="AutoShape 1">
          <a:extLst>
            <a:ext uri="{FF2B5EF4-FFF2-40B4-BE49-F238E27FC236}">
              <a16:creationId xmlns:a16="http://schemas.microsoft.com/office/drawing/2014/main" id="{7584B2C5-5273-4F72-B3A4-E6A865E3FE3A}"/>
            </a:ext>
          </a:extLst>
        </xdr:cNvPr>
        <xdr:cNvSpPr>
          <a:spLocks noChangeAspect="1" noChangeArrowheads="1"/>
        </xdr:cNvSpPr>
      </xdr:nvSpPr>
      <xdr:spPr bwMode="auto">
        <a:xfrm>
          <a:off x="12496800" y="26831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107</xdr:row>
      <xdr:rowOff>0</xdr:rowOff>
    </xdr:from>
    <xdr:to>
      <xdr:col>11</xdr:col>
      <xdr:colOff>304800</xdr:colOff>
      <xdr:row>107</xdr:row>
      <xdr:rowOff>301625</xdr:rowOff>
    </xdr:to>
    <xdr:sp macro="" textlink="">
      <xdr:nvSpPr>
        <xdr:cNvPr id="13" name="AutoShape 2">
          <a:extLst>
            <a:ext uri="{FF2B5EF4-FFF2-40B4-BE49-F238E27FC236}">
              <a16:creationId xmlns:a16="http://schemas.microsoft.com/office/drawing/2014/main" id="{BA9ADEC4-9C97-4A58-8814-9AE335F3DE25}"/>
            </a:ext>
          </a:extLst>
        </xdr:cNvPr>
        <xdr:cNvSpPr>
          <a:spLocks noChangeAspect="1" noChangeArrowheads="1"/>
        </xdr:cNvSpPr>
      </xdr:nvSpPr>
      <xdr:spPr bwMode="auto">
        <a:xfrm>
          <a:off x="14916150" y="26831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392206</xdr:colOff>
      <xdr:row>128</xdr:row>
      <xdr:rowOff>3451412</xdr:rowOff>
    </xdr:from>
    <xdr:to>
      <xdr:col>4</xdr:col>
      <xdr:colOff>493058</xdr:colOff>
      <xdr:row>128</xdr:row>
      <xdr:rowOff>4303059</xdr:rowOff>
    </xdr:to>
    <xdr:cxnSp macro="">
      <xdr:nvCxnSpPr>
        <xdr:cNvPr id="14" name="Conector recto de flecha 13">
          <a:extLst>
            <a:ext uri="{FF2B5EF4-FFF2-40B4-BE49-F238E27FC236}">
              <a16:creationId xmlns:a16="http://schemas.microsoft.com/office/drawing/2014/main" id="{E5AED79D-7587-4E32-8FF7-2AD94A99E7F8}"/>
            </a:ext>
          </a:extLst>
        </xdr:cNvPr>
        <xdr:cNvCxnSpPr/>
      </xdr:nvCxnSpPr>
      <xdr:spPr>
        <a:xfrm>
          <a:off x="4707031" y="37255637"/>
          <a:ext cx="1167652" cy="8516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918882</xdr:colOff>
      <xdr:row>128</xdr:row>
      <xdr:rowOff>2577353</xdr:rowOff>
    </xdr:from>
    <xdr:ext cx="773207" cy="448236"/>
    <xdr:sp macro="" textlink="">
      <xdr:nvSpPr>
        <xdr:cNvPr id="15" name="CuadroTexto 14">
          <a:extLst>
            <a:ext uri="{FF2B5EF4-FFF2-40B4-BE49-F238E27FC236}">
              <a16:creationId xmlns:a16="http://schemas.microsoft.com/office/drawing/2014/main" id="{88B44B67-EBB2-40F5-8FA7-BA1F165BCD91}"/>
            </a:ext>
          </a:extLst>
        </xdr:cNvPr>
        <xdr:cNvSpPr txBox="1"/>
      </xdr:nvSpPr>
      <xdr:spPr>
        <a:xfrm>
          <a:off x="8986557" y="36381578"/>
          <a:ext cx="773207" cy="4482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a:t>
          </a:r>
          <a:r>
            <a:rPr lang="es-MX" sz="1100" baseline="0">
              <a:effectLst/>
            </a:rPr>
            <a:t> COTIZADA</a:t>
          </a:r>
          <a:endParaRPr lang="es-MX" sz="1100">
            <a:effectLst/>
          </a:endParaRPr>
        </a:p>
        <a:p>
          <a:pPr algn="ctr"/>
          <a:endParaRPr lang="es-PA" sz="1100"/>
        </a:p>
        <a:p>
          <a:endParaRPr lang="es-PA" sz="1100"/>
        </a:p>
      </xdr:txBody>
    </xdr:sp>
    <xdr:clientData/>
  </xdr:oneCellAnchor>
  <xdr:oneCellAnchor>
    <xdr:from>
      <xdr:col>18</xdr:col>
      <xdr:colOff>448233</xdr:colOff>
      <xdr:row>128</xdr:row>
      <xdr:rowOff>4647028</xdr:rowOff>
    </xdr:from>
    <xdr:ext cx="896472" cy="261149"/>
    <xdr:sp macro="" textlink="">
      <xdr:nvSpPr>
        <xdr:cNvPr id="16" name="CuadroTexto 15">
          <a:extLst>
            <a:ext uri="{FF2B5EF4-FFF2-40B4-BE49-F238E27FC236}">
              <a16:creationId xmlns:a16="http://schemas.microsoft.com/office/drawing/2014/main" id="{73F8D4FA-839D-421C-B7DF-E203164DF6A6}"/>
            </a:ext>
          </a:extLst>
        </xdr:cNvPr>
        <xdr:cNvSpPr txBox="1"/>
      </xdr:nvSpPr>
      <xdr:spPr>
        <a:xfrm>
          <a:off x="21488958" y="38451253"/>
          <a:ext cx="896472" cy="2611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ESCALERA </a:t>
          </a:r>
          <a:endParaRPr lang="es-PA" sz="1100"/>
        </a:p>
        <a:p>
          <a:endParaRPr lang="es-PA" sz="1100"/>
        </a:p>
      </xdr:txBody>
    </xdr:sp>
    <xdr:clientData/>
  </xdr:oneCellAnchor>
  <xdr:oneCellAnchor>
    <xdr:from>
      <xdr:col>5</xdr:col>
      <xdr:colOff>912157</xdr:colOff>
      <xdr:row>128</xdr:row>
      <xdr:rowOff>1224854</xdr:rowOff>
    </xdr:from>
    <xdr:ext cx="1650073" cy="243117"/>
    <xdr:sp macro="" textlink="">
      <xdr:nvSpPr>
        <xdr:cNvPr id="17" name="CuadroTexto 16">
          <a:extLst>
            <a:ext uri="{FF2B5EF4-FFF2-40B4-BE49-F238E27FC236}">
              <a16:creationId xmlns:a16="http://schemas.microsoft.com/office/drawing/2014/main" id="{248B8B9A-9F7B-4F49-9966-7B72B7105044}"/>
            </a:ext>
          </a:extLst>
        </xdr:cNvPr>
        <xdr:cNvSpPr txBox="1"/>
      </xdr:nvSpPr>
      <xdr:spPr>
        <a:xfrm>
          <a:off x="7360582" y="35029079"/>
          <a:ext cx="1650073" cy="2431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TAPA</a:t>
          </a:r>
          <a:r>
            <a:rPr lang="es-MX" sz="1100" baseline="0">
              <a:effectLst/>
            </a:rPr>
            <a:t> LOSA DE ESCALERA</a:t>
          </a:r>
          <a:endParaRPr lang="es-MX" sz="1100">
            <a:effectLst/>
          </a:endParaRPr>
        </a:p>
        <a:p>
          <a:pPr algn="ctr"/>
          <a:endParaRPr lang="es-PA" sz="1100"/>
        </a:p>
        <a:p>
          <a:endParaRPr lang="es-PA" sz="1100"/>
        </a:p>
      </xdr:txBody>
    </xdr:sp>
    <xdr:clientData/>
  </xdr:oneCellAnchor>
  <xdr:twoCellAnchor>
    <xdr:from>
      <xdr:col>4</xdr:col>
      <xdr:colOff>791700</xdr:colOff>
      <xdr:row>128</xdr:row>
      <xdr:rowOff>436495</xdr:rowOff>
    </xdr:from>
    <xdr:to>
      <xdr:col>5</xdr:col>
      <xdr:colOff>168087</xdr:colOff>
      <xdr:row>128</xdr:row>
      <xdr:rowOff>616324</xdr:rowOff>
    </xdr:to>
    <xdr:cxnSp macro="">
      <xdr:nvCxnSpPr>
        <xdr:cNvPr id="18" name="Conector recto de flecha 17">
          <a:extLst>
            <a:ext uri="{FF2B5EF4-FFF2-40B4-BE49-F238E27FC236}">
              <a16:creationId xmlns:a16="http://schemas.microsoft.com/office/drawing/2014/main" id="{EE28ADE3-B89D-4AEE-9BC2-734D01BDBA40}"/>
            </a:ext>
          </a:extLst>
        </xdr:cNvPr>
        <xdr:cNvCxnSpPr>
          <a:stCxn id="20" idx="3"/>
        </xdr:cNvCxnSpPr>
      </xdr:nvCxnSpPr>
      <xdr:spPr>
        <a:xfrm>
          <a:off x="6173325" y="34240720"/>
          <a:ext cx="443187" cy="1798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717176</xdr:colOff>
      <xdr:row>128</xdr:row>
      <xdr:rowOff>739588</xdr:rowOff>
    </xdr:from>
    <xdr:to>
      <xdr:col>6</xdr:col>
      <xdr:colOff>78723</xdr:colOff>
      <xdr:row>128</xdr:row>
      <xdr:rowOff>1224854</xdr:rowOff>
    </xdr:to>
    <xdr:cxnSp macro="">
      <xdr:nvCxnSpPr>
        <xdr:cNvPr id="19" name="Conector recto de flecha 18">
          <a:extLst>
            <a:ext uri="{FF2B5EF4-FFF2-40B4-BE49-F238E27FC236}">
              <a16:creationId xmlns:a16="http://schemas.microsoft.com/office/drawing/2014/main" id="{1E92F53C-CC3A-4587-8E0C-A337671B6CBF}"/>
            </a:ext>
          </a:extLst>
        </xdr:cNvPr>
        <xdr:cNvCxnSpPr/>
      </xdr:nvCxnSpPr>
      <xdr:spPr>
        <a:xfrm flipH="1" flipV="1">
          <a:off x="7165601" y="34543813"/>
          <a:ext cx="980797" cy="485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761998</xdr:colOff>
      <xdr:row>128</xdr:row>
      <xdr:rowOff>189430</xdr:rowOff>
    </xdr:from>
    <xdr:ext cx="1094261" cy="494129"/>
    <xdr:sp macro="" textlink="">
      <xdr:nvSpPr>
        <xdr:cNvPr id="20" name="CuadroTexto 19">
          <a:extLst>
            <a:ext uri="{FF2B5EF4-FFF2-40B4-BE49-F238E27FC236}">
              <a16:creationId xmlns:a16="http://schemas.microsoft.com/office/drawing/2014/main" id="{45F05BAC-6001-4DE2-BA55-0E0230F04171}"/>
            </a:ext>
          </a:extLst>
        </xdr:cNvPr>
        <xdr:cNvSpPr txBox="1"/>
      </xdr:nvSpPr>
      <xdr:spPr>
        <a:xfrm>
          <a:off x="5076823" y="33993655"/>
          <a:ext cx="1094261" cy="4941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AREA DE PRETIL COTIZADA </a:t>
          </a:r>
        </a:p>
        <a:p>
          <a:pPr algn="ctr"/>
          <a:endParaRPr lang="es-PA" sz="1100"/>
        </a:p>
        <a:p>
          <a:endParaRPr lang="es-PA" sz="1100"/>
        </a:p>
      </xdr:txBody>
    </xdr:sp>
    <xdr:clientData/>
  </xdr:oneCellAnchor>
  <xdr:oneCellAnchor>
    <xdr:from>
      <xdr:col>0</xdr:col>
      <xdr:colOff>728382</xdr:colOff>
      <xdr:row>128</xdr:row>
      <xdr:rowOff>4639235</xdr:rowOff>
    </xdr:from>
    <xdr:ext cx="2860309" cy="291039"/>
    <xdr:sp macro="" textlink="">
      <xdr:nvSpPr>
        <xdr:cNvPr id="21" name="CuadroTexto 20">
          <a:extLst>
            <a:ext uri="{FF2B5EF4-FFF2-40B4-BE49-F238E27FC236}">
              <a16:creationId xmlns:a16="http://schemas.microsoft.com/office/drawing/2014/main" id="{815EFFB9-A6FF-4FF8-80C9-4FF79967FCB7}"/>
            </a:ext>
          </a:extLst>
        </xdr:cNvPr>
        <xdr:cNvSpPr txBox="1"/>
      </xdr:nvSpPr>
      <xdr:spPr>
        <a:xfrm>
          <a:off x="728382" y="38443460"/>
          <a:ext cx="2860309" cy="2910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aseline="0">
              <a:effectLst/>
            </a:rPr>
            <a:t>TORRE CARMESI PERIMETRO DE ANDAMIAJE</a:t>
          </a:r>
          <a:endParaRPr lang="es-MX" sz="1100">
            <a:effectLst/>
          </a:endParaRPr>
        </a:p>
        <a:p>
          <a:pPr algn="ctr"/>
          <a:endParaRPr lang="es-PA" sz="1100"/>
        </a:p>
        <a:p>
          <a:endParaRPr lang="es-PA" sz="1100"/>
        </a:p>
      </xdr:txBody>
    </xdr:sp>
    <xdr:clientData/>
  </xdr:oneCellAnchor>
  <xdr:twoCellAnchor editAs="oneCell">
    <xdr:from>
      <xdr:col>5</xdr:col>
      <xdr:colOff>1174736</xdr:colOff>
      <xdr:row>128</xdr:row>
      <xdr:rowOff>4235824</xdr:rowOff>
    </xdr:from>
    <xdr:to>
      <xdr:col>6</xdr:col>
      <xdr:colOff>723553</xdr:colOff>
      <xdr:row>129</xdr:row>
      <xdr:rowOff>165384</xdr:rowOff>
    </xdr:to>
    <xdr:pic>
      <xdr:nvPicPr>
        <xdr:cNvPr id="22" name="Imagen 21">
          <a:extLst>
            <a:ext uri="{FF2B5EF4-FFF2-40B4-BE49-F238E27FC236}">
              <a16:creationId xmlns:a16="http://schemas.microsoft.com/office/drawing/2014/main" id="{D62850CE-A12D-4E67-AE99-63E21BFF8EFD}"/>
            </a:ext>
          </a:extLst>
        </xdr:cNvPr>
        <xdr:cNvPicPr>
          <a:picLocks noChangeAspect="1"/>
        </xdr:cNvPicPr>
      </xdr:nvPicPr>
      <xdr:blipFill rotWithShape="1">
        <a:blip xmlns:r="http://schemas.openxmlformats.org/officeDocument/2006/relationships" r:embed="rId10"/>
        <a:srcRect l="6049" t="8786"/>
        <a:stretch/>
      </xdr:blipFill>
      <xdr:spPr>
        <a:xfrm>
          <a:off x="7623161" y="38040049"/>
          <a:ext cx="1168067" cy="863510"/>
        </a:xfrm>
        <a:prstGeom prst="rect">
          <a:avLst/>
        </a:prstGeom>
      </xdr:spPr>
    </xdr:pic>
    <xdr:clientData/>
  </xdr:twoCellAnchor>
  <xdr:oneCellAnchor>
    <xdr:from>
      <xdr:col>9</xdr:col>
      <xdr:colOff>0</xdr:colOff>
      <xdr:row>114</xdr:row>
      <xdr:rowOff>0</xdr:rowOff>
    </xdr:from>
    <xdr:ext cx="304800" cy="301625"/>
    <xdr:sp macro="" textlink="">
      <xdr:nvSpPr>
        <xdr:cNvPr id="23" name="AutoShape 1">
          <a:extLst>
            <a:ext uri="{FF2B5EF4-FFF2-40B4-BE49-F238E27FC236}">
              <a16:creationId xmlns:a16="http://schemas.microsoft.com/office/drawing/2014/main" id="{F5839804-CE3E-47D4-96E9-1BDEA54539F6}"/>
            </a:ext>
          </a:extLst>
        </xdr:cNvPr>
        <xdr:cNvSpPr>
          <a:spLocks noChangeAspect="1" noChangeArrowheads="1"/>
        </xdr:cNvSpPr>
      </xdr:nvSpPr>
      <xdr:spPr bwMode="auto">
        <a:xfrm>
          <a:off x="12496800" y="293084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114</xdr:row>
      <xdr:rowOff>0</xdr:rowOff>
    </xdr:from>
    <xdr:ext cx="304800" cy="301625"/>
    <xdr:sp macro="" textlink="">
      <xdr:nvSpPr>
        <xdr:cNvPr id="24" name="AutoShape 2">
          <a:extLst>
            <a:ext uri="{FF2B5EF4-FFF2-40B4-BE49-F238E27FC236}">
              <a16:creationId xmlns:a16="http://schemas.microsoft.com/office/drawing/2014/main" id="{58026CBB-5C0B-4BFE-A55B-8A885CA9DDFD}"/>
            </a:ext>
          </a:extLst>
        </xdr:cNvPr>
        <xdr:cNvSpPr>
          <a:spLocks noChangeAspect="1" noChangeArrowheads="1"/>
        </xdr:cNvSpPr>
      </xdr:nvSpPr>
      <xdr:spPr bwMode="auto">
        <a:xfrm>
          <a:off x="14916150" y="293084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121</xdr:row>
      <xdr:rowOff>0</xdr:rowOff>
    </xdr:from>
    <xdr:ext cx="304800" cy="301625"/>
    <xdr:sp macro="" textlink="">
      <xdr:nvSpPr>
        <xdr:cNvPr id="25" name="AutoShape 1">
          <a:extLst>
            <a:ext uri="{FF2B5EF4-FFF2-40B4-BE49-F238E27FC236}">
              <a16:creationId xmlns:a16="http://schemas.microsoft.com/office/drawing/2014/main" id="{5BA27344-6A95-4C32-B7E3-D15DBA8AEB27}"/>
            </a:ext>
          </a:extLst>
        </xdr:cNvPr>
        <xdr:cNvSpPr>
          <a:spLocks noChangeAspect="1" noChangeArrowheads="1"/>
        </xdr:cNvSpPr>
      </xdr:nvSpPr>
      <xdr:spPr bwMode="auto">
        <a:xfrm>
          <a:off x="12496800" y="31784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121</xdr:row>
      <xdr:rowOff>0</xdr:rowOff>
    </xdr:from>
    <xdr:ext cx="304800" cy="301625"/>
    <xdr:sp macro="" textlink="">
      <xdr:nvSpPr>
        <xdr:cNvPr id="26" name="AutoShape 2">
          <a:extLst>
            <a:ext uri="{FF2B5EF4-FFF2-40B4-BE49-F238E27FC236}">
              <a16:creationId xmlns:a16="http://schemas.microsoft.com/office/drawing/2014/main" id="{D81757CB-9C4C-4871-8627-4A3D45C65F92}"/>
            </a:ext>
          </a:extLst>
        </xdr:cNvPr>
        <xdr:cNvSpPr>
          <a:spLocks noChangeAspect="1" noChangeArrowheads="1"/>
        </xdr:cNvSpPr>
      </xdr:nvSpPr>
      <xdr:spPr bwMode="auto">
        <a:xfrm>
          <a:off x="14916150" y="317849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125</xdr:row>
      <xdr:rowOff>0</xdr:rowOff>
    </xdr:from>
    <xdr:ext cx="304800" cy="301625"/>
    <xdr:sp macro="" textlink="">
      <xdr:nvSpPr>
        <xdr:cNvPr id="27" name="AutoShape 1">
          <a:extLst>
            <a:ext uri="{FF2B5EF4-FFF2-40B4-BE49-F238E27FC236}">
              <a16:creationId xmlns:a16="http://schemas.microsoft.com/office/drawing/2014/main" id="{221B931D-15D9-48DB-B6A7-633DF2CC4FEA}"/>
            </a:ext>
          </a:extLst>
        </xdr:cNvPr>
        <xdr:cNvSpPr>
          <a:spLocks noChangeAspect="1" noChangeArrowheads="1"/>
        </xdr:cNvSpPr>
      </xdr:nvSpPr>
      <xdr:spPr bwMode="auto">
        <a:xfrm>
          <a:off x="12496800" y="33175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xdr:row>
      <xdr:rowOff>0</xdr:rowOff>
    </xdr:from>
    <xdr:ext cx="304800" cy="301625"/>
    <xdr:sp macro="" textlink="">
      <xdr:nvSpPr>
        <xdr:cNvPr id="28" name="AutoShape 2">
          <a:extLst>
            <a:ext uri="{FF2B5EF4-FFF2-40B4-BE49-F238E27FC236}">
              <a16:creationId xmlns:a16="http://schemas.microsoft.com/office/drawing/2014/main" id="{1992CD7B-3CE6-4074-8E81-49E620CC4CB5}"/>
            </a:ext>
          </a:extLst>
        </xdr:cNvPr>
        <xdr:cNvSpPr>
          <a:spLocks noChangeAspect="1" noChangeArrowheads="1"/>
        </xdr:cNvSpPr>
      </xdr:nvSpPr>
      <xdr:spPr bwMode="auto">
        <a:xfrm>
          <a:off x="14916150" y="33175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1060075</xdr:colOff>
      <xdr:row>128</xdr:row>
      <xdr:rowOff>2853017</xdr:rowOff>
    </xdr:from>
    <xdr:to>
      <xdr:col>5</xdr:col>
      <xdr:colOff>762357</xdr:colOff>
      <xdr:row>128</xdr:row>
      <xdr:rowOff>3827927</xdr:rowOff>
    </xdr:to>
    <xdr:pic>
      <xdr:nvPicPr>
        <xdr:cNvPr id="29" name="Imagen 28">
          <a:extLst>
            <a:ext uri="{FF2B5EF4-FFF2-40B4-BE49-F238E27FC236}">
              <a16:creationId xmlns:a16="http://schemas.microsoft.com/office/drawing/2014/main" id="{F745DDAF-53D0-4EAC-869A-84695F4EBCF4}"/>
            </a:ext>
          </a:extLst>
        </xdr:cNvPr>
        <xdr:cNvPicPr>
          <a:picLocks noChangeAspect="1"/>
        </xdr:cNvPicPr>
      </xdr:nvPicPr>
      <xdr:blipFill rotWithShape="1">
        <a:blip xmlns:r="http://schemas.openxmlformats.org/officeDocument/2006/relationships" r:embed="rId3"/>
        <a:srcRect l="4422" t="16538" r="736" b="-178"/>
        <a:stretch/>
      </xdr:blipFill>
      <xdr:spPr>
        <a:xfrm>
          <a:off x="5374900" y="36657242"/>
          <a:ext cx="1835882" cy="974910"/>
        </a:xfrm>
        <a:prstGeom prst="rect">
          <a:avLst/>
        </a:prstGeom>
      </xdr:spPr>
    </xdr:pic>
    <xdr:clientData/>
  </xdr:twoCellAnchor>
  <xdr:twoCellAnchor editAs="oneCell">
    <xdr:from>
      <xdr:col>5</xdr:col>
      <xdr:colOff>1170253</xdr:colOff>
      <xdr:row>128</xdr:row>
      <xdr:rowOff>2976283</xdr:rowOff>
    </xdr:from>
    <xdr:to>
      <xdr:col>6</xdr:col>
      <xdr:colOff>719070</xdr:colOff>
      <xdr:row>128</xdr:row>
      <xdr:rowOff>3836431</xdr:rowOff>
    </xdr:to>
    <xdr:pic>
      <xdr:nvPicPr>
        <xdr:cNvPr id="30" name="Imagen 29">
          <a:extLst>
            <a:ext uri="{FF2B5EF4-FFF2-40B4-BE49-F238E27FC236}">
              <a16:creationId xmlns:a16="http://schemas.microsoft.com/office/drawing/2014/main" id="{BB3FED51-A467-4164-A983-9D08B74E670E}"/>
            </a:ext>
          </a:extLst>
        </xdr:cNvPr>
        <xdr:cNvPicPr>
          <a:picLocks noChangeAspect="1"/>
        </xdr:cNvPicPr>
      </xdr:nvPicPr>
      <xdr:blipFill rotWithShape="1">
        <a:blip xmlns:r="http://schemas.openxmlformats.org/officeDocument/2006/relationships" r:embed="rId10"/>
        <a:srcRect l="6049" t="8786"/>
        <a:stretch/>
      </xdr:blipFill>
      <xdr:spPr>
        <a:xfrm>
          <a:off x="7618678" y="36780508"/>
          <a:ext cx="1168067" cy="860148"/>
        </a:xfrm>
        <a:prstGeom prst="rect">
          <a:avLst/>
        </a:prstGeom>
      </xdr:spPr>
    </xdr:pic>
    <xdr:clientData/>
  </xdr:twoCellAnchor>
  <xdr:twoCellAnchor editAs="oneCell">
    <xdr:from>
      <xdr:col>3</xdr:col>
      <xdr:colOff>977152</xdr:colOff>
      <xdr:row>128</xdr:row>
      <xdr:rowOff>1638300</xdr:rowOff>
    </xdr:from>
    <xdr:to>
      <xdr:col>5</xdr:col>
      <xdr:colOff>679434</xdr:colOff>
      <xdr:row>128</xdr:row>
      <xdr:rowOff>2613210</xdr:rowOff>
    </xdr:to>
    <xdr:pic>
      <xdr:nvPicPr>
        <xdr:cNvPr id="31" name="Imagen 30">
          <a:extLst>
            <a:ext uri="{FF2B5EF4-FFF2-40B4-BE49-F238E27FC236}">
              <a16:creationId xmlns:a16="http://schemas.microsoft.com/office/drawing/2014/main" id="{A2295049-0A85-4D9E-946E-0236615C4B22}"/>
            </a:ext>
          </a:extLst>
        </xdr:cNvPr>
        <xdr:cNvPicPr>
          <a:picLocks noChangeAspect="1"/>
        </xdr:cNvPicPr>
      </xdr:nvPicPr>
      <xdr:blipFill rotWithShape="1">
        <a:blip xmlns:r="http://schemas.openxmlformats.org/officeDocument/2006/relationships" r:embed="rId3"/>
        <a:srcRect l="4422" t="16538" r="736" b="-178"/>
        <a:stretch/>
      </xdr:blipFill>
      <xdr:spPr>
        <a:xfrm>
          <a:off x="5291977" y="35442525"/>
          <a:ext cx="1835882" cy="974910"/>
        </a:xfrm>
        <a:prstGeom prst="rect">
          <a:avLst/>
        </a:prstGeom>
      </xdr:spPr>
    </xdr:pic>
    <xdr:clientData/>
  </xdr:twoCellAnchor>
  <xdr:twoCellAnchor editAs="oneCell">
    <xdr:from>
      <xdr:col>5</xdr:col>
      <xdr:colOff>1087330</xdr:colOff>
      <xdr:row>128</xdr:row>
      <xdr:rowOff>1761566</xdr:rowOff>
    </xdr:from>
    <xdr:to>
      <xdr:col>6</xdr:col>
      <xdr:colOff>636147</xdr:colOff>
      <xdr:row>128</xdr:row>
      <xdr:rowOff>2621714</xdr:rowOff>
    </xdr:to>
    <xdr:pic>
      <xdr:nvPicPr>
        <xdr:cNvPr id="32" name="Imagen 31">
          <a:extLst>
            <a:ext uri="{FF2B5EF4-FFF2-40B4-BE49-F238E27FC236}">
              <a16:creationId xmlns:a16="http://schemas.microsoft.com/office/drawing/2014/main" id="{B5CDD66C-B681-4CB0-AD99-941378428AFB}"/>
            </a:ext>
          </a:extLst>
        </xdr:cNvPr>
        <xdr:cNvPicPr>
          <a:picLocks noChangeAspect="1"/>
        </xdr:cNvPicPr>
      </xdr:nvPicPr>
      <xdr:blipFill rotWithShape="1">
        <a:blip xmlns:r="http://schemas.openxmlformats.org/officeDocument/2006/relationships" r:embed="rId10"/>
        <a:srcRect l="6049" t="8786"/>
        <a:stretch/>
      </xdr:blipFill>
      <xdr:spPr>
        <a:xfrm>
          <a:off x="7535755" y="35565791"/>
          <a:ext cx="1168067" cy="860148"/>
        </a:xfrm>
        <a:prstGeom prst="rect">
          <a:avLst/>
        </a:prstGeom>
      </xdr:spPr>
    </xdr:pic>
    <xdr:clientData/>
  </xdr:twoCellAnchor>
  <xdr:twoCellAnchor>
    <xdr:from>
      <xdr:col>5</xdr:col>
      <xdr:colOff>728383</xdr:colOff>
      <xdr:row>128</xdr:row>
      <xdr:rowOff>1860176</xdr:rowOff>
    </xdr:from>
    <xdr:to>
      <xdr:col>5</xdr:col>
      <xdr:colOff>1243854</xdr:colOff>
      <xdr:row>128</xdr:row>
      <xdr:rowOff>2259105</xdr:rowOff>
    </xdr:to>
    <xdr:sp macro="" textlink="">
      <xdr:nvSpPr>
        <xdr:cNvPr id="33" name="Signo más 32">
          <a:extLst>
            <a:ext uri="{FF2B5EF4-FFF2-40B4-BE49-F238E27FC236}">
              <a16:creationId xmlns:a16="http://schemas.microsoft.com/office/drawing/2014/main" id="{1B9FFDA4-7059-4975-90AC-CEF9DCA4EBD7}"/>
            </a:ext>
          </a:extLst>
        </xdr:cNvPr>
        <xdr:cNvSpPr/>
      </xdr:nvSpPr>
      <xdr:spPr>
        <a:xfrm>
          <a:off x="7176808" y="35664401"/>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768724</xdr:colOff>
      <xdr:row>128</xdr:row>
      <xdr:rowOff>3133164</xdr:rowOff>
    </xdr:from>
    <xdr:to>
      <xdr:col>5</xdr:col>
      <xdr:colOff>1284195</xdr:colOff>
      <xdr:row>128</xdr:row>
      <xdr:rowOff>3532093</xdr:rowOff>
    </xdr:to>
    <xdr:sp macro="" textlink="">
      <xdr:nvSpPr>
        <xdr:cNvPr id="34" name="Signo más 33">
          <a:extLst>
            <a:ext uri="{FF2B5EF4-FFF2-40B4-BE49-F238E27FC236}">
              <a16:creationId xmlns:a16="http://schemas.microsoft.com/office/drawing/2014/main" id="{B91D7E98-1745-44EE-A96B-EDD421A2E32E}"/>
            </a:ext>
          </a:extLst>
        </xdr:cNvPr>
        <xdr:cNvSpPr/>
      </xdr:nvSpPr>
      <xdr:spPr>
        <a:xfrm>
          <a:off x="7217149" y="36937389"/>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5</xdr:col>
      <xdr:colOff>797860</xdr:colOff>
      <xdr:row>128</xdr:row>
      <xdr:rowOff>4406152</xdr:rowOff>
    </xdr:from>
    <xdr:to>
      <xdr:col>5</xdr:col>
      <xdr:colOff>1313331</xdr:colOff>
      <xdr:row>128</xdr:row>
      <xdr:rowOff>4805081</xdr:rowOff>
    </xdr:to>
    <xdr:sp macro="" textlink="">
      <xdr:nvSpPr>
        <xdr:cNvPr id="35" name="Signo más 34">
          <a:extLst>
            <a:ext uri="{FF2B5EF4-FFF2-40B4-BE49-F238E27FC236}">
              <a16:creationId xmlns:a16="http://schemas.microsoft.com/office/drawing/2014/main" id="{29B5B5C6-EF44-48A0-8439-54622E6E8F55}"/>
            </a:ext>
          </a:extLst>
        </xdr:cNvPr>
        <xdr:cNvSpPr/>
      </xdr:nvSpPr>
      <xdr:spPr>
        <a:xfrm>
          <a:off x="7246285" y="38210377"/>
          <a:ext cx="515471" cy="398929"/>
        </a:xfrm>
        <a:prstGeom prst="mathPlus">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10</xdr:col>
      <xdr:colOff>94691</xdr:colOff>
      <xdr:row>72</xdr:row>
      <xdr:rowOff>87966</xdr:rowOff>
    </xdr:from>
    <xdr:to>
      <xdr:col>10</xdr:col>
      <xdr:colOff>352427</xdr:colOff>
      <xdr:row>73</xdr:row>
      <xdr:rowOff>107014</xdr:rowOff>
    </xdr:to>
    <xdr:cxnSp macro="">
      <xdr:nvCxnSpPr>
        <xdr:cNvPr id="36" name="Conector recto de flecha 35">
          <a:extLst>
            <a:ext uri="{FF2B5EF4-FFF2-40B4-BE49-F238E27FC236}">
              <a16:creationId xmlns:a16="http://schemas.microsoft.com/office/drawing/2014/main" id="{C6C1BD37-1467-4CD0-950D-9F9364B2A336}"/>
            </a:ext>
          </a:extLst>
        </xdr:cNvPr>
        <xdr:cNvCxnSpPr/>
      </xdr:nvCxnSpPr>
      <xdr:spPr>
        <a:xfrm flipH="1" flipV="1">
          <a:off x="13753541" y="19852341"/>
          <a:ext cx="257736" cy="285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661147</xdr:colOff>
      <xdr:row>128</xdr:row>
      <xdr:rowOff>2734236</xdr:rowOff>
    </xdr:from>
    <xdr:to>
      <xdr:col>4</xdr:col>
      <xdr:colOff>549088</xdr:colOff>
      <xdr:row>128</xdr:row>
      <xdr:rowOff>3104030</xdr:rowOff>
    </xdr:to>
    <xdr:cxnSp macro="">
      <xdr:nvCxnSpPr>
        <xdr:cNvPr id="37" name="Conector recto de flecha 36">
          <a:extLst>
            <a:ext uri="{FF2B5EF4-FFF2-40B4-BE49-F238E27FC236}">
              <a16:creationId xmlns:a16="http://schemas.microsoft.com/office/drawing/2014/main" id="{BA870761-A7C8-46EB-B009-990396AACF4B}"/>
            </a:ext>
          </a:extLst>
        </xdr:cNvPr>
        <xdr:cNvCxnSpPr/>
      </xdr:nvCxnSpPr>
      <xdr:spPr>
        <a:xfrm>
          <a:off x="4975972" y="36538461"/>
          <a:ext cx="954741" cy="3697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567018</xdr:colOff>
      <xdr:row>128</xdr:row>
      <xdr:rowOff>2125755</xdr:rowOff>
    </xdr:from>
    <xdr:to>
      <xdr:col>3</xdr:col>
      <xdr:colOff>977152</xdr:colOff>
      <xdr:row>128</xdr:row>
      <xdr:rowOff>2203077</xdr:rowOff>
    </xdr:to>
    <xdr:cxnSp macro="">
      <xdr:nvCxnSpPr>
        <xdr:cNvPr id="38" name="Conector recto de flecha 37">
          <a:extLst>
            <a:ext uri="{FF2B5EF4-FFF2-40B4-BE49-F238E27FC236}">
              <a16:creationId xmlns:a16="http://schemas.microsoft.com/office/drawing/2014/main" id="{05E4C03B-DC71-4F01-9E5A-79631BD499E4}"/>
            </a:ext>
          </a:extLst>
        </xdr:cNvPr>
        <xdr:cNvCxnSpPr>
          <a:endCxn id="31" idx="1"/>
        </xdr:cNvCxnSpPr>
      </xdr:nvCxnSpPr>
      <xdr:spPr>
        <a:xfrm flipV="1">
          <a:off x="4881843" y="35929980"/>
          <a:ext cx="410134" cy="77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271182</xdr:colOff>
      <xdr:row>128</xdr:row>
      <xdr:rowOff>1199030</xdr:rowOff>
    </xdr:from>
    <xdr:to>
      <xdr:col>3</xdr:col>
      <xdr:colOff>818029</xdr:colOff>
      <xdr:row>128</xdr:row>
      <xdr:rowOff>1414183</xdr:rowOff>
    </xdr:to>
    <xdr:cxnSp macro="">
      <xdr:nvCxnSpPr>
        <xdr:cNvPr id="39" name="Conector recto de flecha 38">
          <a:extLst>
            <a:ext uri="{FF2B5EF4-FFF2-40B4-BE49-F238E27FC236}">
              <a16:creationId xmlns:a16="http://schemas.microsoft.com/office/drawing/2014/main" id="{3BB1456C-8F05-4316-B399-90FD504D9D51}"/>
            </a:ext>
          </a:extLst>
        </xdr:cNvPr>
        <xdr:cNvCxnSpPr/>
      </xdr:nvCxnSpPr>
      <xdr:spPr>
        <a:xfrm flipV="1">
          <a:off x="4586007" y="35003255"/>
          <a:ext cx="546847" cy="215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605116</xdr:colOff>
      <xdr:row>0</xdr:row>
      <xdr:rowOff>93682</xdr:rowOff>
    </xdr:from>
    <xdr:to>
      <xdr:col>7</xdr:col>
      <xdr:colOff>997324</xdr:colOff>
      <xdr:row>0</xdr:row>
      <xdr:rowOff>1503151</xdr:rowOff>
    </xdr:to>
    <xdr:pic>
      <xdr:nvPicPr>
        <xdr:cNvPr id="40" name="Imagen 39">
          <a:extLst>
            <a:ext uri="{FF2B5EF4-FFF2-40B4-BE49-F238E27FC236}">
              <a16:creationId xmlns:a16="http://schemas.microsoft.com/office/drawing/2014/main" id="{796069F4-B0A8-470C-9D38-C7DC65D23252}"/>
            </a:ext>
          </a:extLst>
        </xdr:cNvPr>
        <xdr:cNvPicPr>
          <a:picLocks noChangeAspect="1"/>
        </xdr:cNvPicPr>
      </xdr:nvPicPr>
      <xdr:blipFill rotWithShape="1">
        <a:blip xmlns:r="http://schemas.openxmlformats.org/officeDocument/2006/relationships" r:embed="rId11"/>
        <a:srcRect t="4420" r="5369"/>
        <a:stretch/>
      </xdr:blipFill>
      <xdr:spPr>
        <a:xfrm>
          <a:off x="8672791" y="93682"/>
          <a:ext cx="1840008" cy="1409469"/>
        </a:xfrm>
        <a:prstGeom prst="rect">
          <a:avLst/>
        </a:prstGeom>
      </xdr:spPr>
    </xdr:pic>
    <xdr:clientData/>
  </xdr:twoCellAnchor>
  <xdr:oneCellAnchor>
    <xdr:from>
      <xdr:col>3</xdr:col>
      <xdr:colOff>907673</xdr:colOff>
      <xdr:row>128</xdr:row>
      <xdr:rowOff>1231579</xdr:rowOff>
    </xdr:from>
    <xdr:ext cx="1972238" cy="303626"/>
    <xdr:sp macro="" textlink="">
      <xdr:nvSpPr>
        <xdr:cNvPr id="41" name="CuadroTexto 40">
          <a:extLst>
            <a:ext uri="{FF2B5EF4-FFF2-40B4-BE49-F238E27FC236}">
              <a16:creationId xmlns:a16="http://schemas.microsoft.com/office/drawing/2014/main" id="{5F6252B2-26BB-4998-AA09-F12B34394802}"/>
            </a:ext>
          </a:extLst>
        </xdr:cNvPr>
        <xdr:cNvSpPr txBox="1"/>
      </xdr:nvSpPr>
      <xdr:spPr>
        <a:xfrm>
          <a:off x="5222498" y="35035804"/>
          <a:ext cx="1972238" cy="30362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b="1">
              <a:effectLst/>
            </a:rPr>
            <a:t>ADICIONALES ULTIMO NIVEL</a:t>
          </a:r>
        </a:p>
        <a:p>
          <a:pPr algn="ctr"/>
          <a:endParaRPr lang="es-PA" sz="1100"/>
        </a:p>
        <a:p>
          <a:endParaRPr lang="es-PA" sz="1100"/>
        </a:p>
      </xdr:txBody>
    </xdr:sp>
    <xdr:clientData/>
  </xdr:oneCellAnchor>
  <xdr:oneCellAnchor>
    <xdr:from>
      <xdr:col>4</xdr:col>
      <xdr:colOff>694762</xdr:colOff>
      <xdr:row>129</xdr:row>
      <xdr:rowOff>180467</xdr:rowOff>
    </xdr:from>
    <xdr:ext cx="1445561" cy="258805"/>
    <xdr:sp macro="" textlink="">
      <xdr:nvSpPr>
        <xdr:cNvPr id="42" name="CuadroTexto 41">
          <a:extLst>
            <a:ext uri="{FF2B5EF4-FFF2-40B4-BE49-F238E27FC236}">
              <a16:creationId xmlns:a16="http://schemas.microsoft.com/office/drawing/2014/main" id="{E326C330-3EBF-4257-A71B-2C8745F4AE26}"/>
            </a:ext>
          </a:extLst>
        </xdr:cNvPr>
        <xdr:cNvSpPr txBox="1"/>
      </xdr:nvSpPr>
      <xdr:spPr>
        <a:xfrm>
          <a:off x="6076387" y="38918642"/>
          <a:ext cx="1445561" cy="2588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PLANTA</a:t>
          </a:r>
          <a:r>
            <a:rPr lang="es-MX" sz="1100" baseline="0">
              <a:effectLst/>
            </a:rPr>
            <a:t> BAJA</a:t>
          </a:r>
          <a:endParaRPr lang="es-MX" sz="1100">
            <a:effectLst/>
          </a:endParaRPr>
        </a:p>
        <a:p>
          <a:pPr algn="ctr"/>
          <a:endParaRPr lang="es-PA" sz="1100"/>
        </a:p>
        <a:p>
          <a:endParaRPr lang="es-PA" sz="1100"/>
        </a:p>
      </xdr:txBody>
    </xdr:sp>
    <xdr:clientData/>
  </xdr:oneCellAnchor>
  <xdr:oneCellAnchor>
    <xdr:from>
      <xdr:col>5</xdr:col>
      <xdr:colOff>29134</xdr:colOff>
      <xdr:row>128</xdr:row>
      <xdr:rowOff>3773073</xdr:rowOff>
    </xdr:from>
    <xdr:ext cx="1618131" cy="274492"/>
    <xdr:sp macro="" textlink="">
      <xdr:nvSpPr>
        <xdr:cNvPr id="43" name="CuadroTexto 42">
          <a:extLst>
            <a:ext uri="{FF2B5EF4-FFF2-40B4-BE49-F238E27FC236}">
              <a16:creationId xmlns:a16="http://schemas.microsoft.com/office/drawing/2014/main" id="{7560F986-21A3-439F-B724-B22614CA9A35}"/>
            </a:ext>
          </a:extLst>
        </xdr:cNvPr>
        <xdr:cNvSpPr txBox="1"/>
      </xdr:nvSpPr>
      <xdr:spPr>
        <a:xfrm>
          <a:off x="6477559" y="3757729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PRIMER NIVEL</a:t>
          </a:r>
        </a:p>
        <a:p>
          <a:pPr algn="ctr"/>
          <a:endParaRPr lang="es-PA" sz="1100"/>
        </a:p>
        <a:p>
          <a:endParaRPr lang="es-PA" sz="1100"/>
        </a:p>
      </xdr:txBody>
    </xdr:sp>
    <xdr:clientData/>
  </xdr:oneCellAnchor>
  <xdr:oneCellAnchor>
    <xdr:from>
      <xdr:col>5</xdr:col>
      <xdr:colOff>13446</xdr:colOff>
      <xdr:row>128</xdr:row>
      <xdr:rowOff>2457503</xdr:rowOff>
    </xdr:from>
    <xdr:ext cx="1618131" cy="274492"/>
    <xdr:sp macro="" textlink="">
      <xdr:nvSpPr>
        <xdr:cNvPr id="44" name="CuadroTexto 43">
          <a:extLst>
            <a:ext uri="{FF2B5EF4-FFF2-40B4-BE49-F238E27FC236}">
              <a16:creationId xmlns:a16="http://schemas.microsoft.com/office/drawing/2014/main" id="{6E86F7C7-17CE-4EEE-ADBE-F42460430D0E}"/>
            </a:ext>
          </a:extLst>
        </xdr:cNvPr>
        <xdr:cNvSpPr txBox="1"/>
      </xdr:nvSpPr>
      <xdr:spPr>
        <a:xfrm>
          <a:off x="6461871" y="36261728"/>
          <a:ext cx="1618131" cy="2744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lang="es-MX" sz="1100">
              <a:effectLst/>
            </a:rPr>
            <a:t>DUPLEX SEGUNDO NIVEL</a:t>
          </a:r>
        </a:p>
        <a:p>
          <a:pPr algn="ctr"/>
          <a:endParaRPr lang="es-PA" sz="1100"/>
        </a:p>
        <a:p>
          <a:endParaRPr lang="es-PA"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mrcimbras.sharepoint.com/Users/Ingenieria%20CMR/Desktop/2025/PANAMA-MEXICO/CTZ%20120-1-25_INDHECA_PROTOTIPO_%20LA%20PARROQUIA%202%2060M2_MOLDE_DE_ALUMINIO_NUEV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Z 120-1 MOLDE DUPLEX+ADC"/>
      <sheetName val="CTZ 120-2 SIST ANDAMIAJE 200"/>
      <sheetName val="CTZ 120-3 SIST ANDAMIAJE COMPLE"/>
      <sheetName val="CTZ 120-4 MOLDE POR NIVELES"/>
      <sheetName val="CTZ 120-5 3MOLDE DUPLEX+UN NIV"/>
      <sheetName val="CTZ 8T (altura 270.7)"/>
      <sheetName val="CTZ 8T (ALTURA 270,7) POR NIVEL"/>
      <sheetName val="CTZ SISTEMA DE ANDAMIAJE 20 (2)"/>
      <sheetName val="CTZ SISTEMA DE ANDAMIAJE (2)"/>
      <sheetName val="Hoja1"/>
      <sheetName val="Hoja2"/>
    </sheetNames>
    <sheetDataSet>
      <sheetData sheetId="0"/>
      <sheetData sheetId="1"/>
      <sheetData sheetId="2"/>
      <sheetData sheetId="3"/>
      <sheetData sheetId="4"/>
      <sheetData sheetId="5">
        <row r="66">
          <cell r="H66">
            <v>238301.35538719996</v>
          </cell>
        </row>
      </sheetData>
      <sheetData sheetId="6"/>
      <sheetData sheetId="7"/>
      <sheetData sheetId="8"/>
      <sheetData sheetId="9"/>
      <sheetData sheetId="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e.escobosa@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ge.escobosa@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ge.escobosa@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ge.escobosa@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ge.escobosa@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ge.escobosa@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ge.escobosa@gmail.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ge.escobosa@gmail.com"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ge.escobosa@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ge.escobosa@g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ge.escobosa@gmail.com"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ge.escobos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33E9-86BE-4788-8D7F-DB22E3CF1599}">
  <dimension ref="A1:R100"/>
  <sheetViews>
    <sheetView view="pageBreakPreview" topLeftCell="A58" zoomScale="85" zoomScaleNormal="80" zoomScaleSheetLayoutView="85" workbookViewId="0">
      <selection activeCell="C61" sqref="C61:F64"/>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1.8554687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6" t="s">
        <v>1</v>
      </c>
      <c r="B2" s="7">
        <f ca="1">TODAY()</f>
        <v>46323</v>
      </c>
      <c r="C2" s="92"/>
      <c r="D2" s="92"/>
      <c r="E2" s="92"/>
      <c r="F2" s="92"/>
      <c r="G2" s="8" t="s">
        <v>2</v>
      </c>
      <c r="H2" s="9" t="s">
        <v>111</v>
      </c>
    </row>
    <row r="3" spans="1:18" ht="25.15" customHeight="1">
      <c r="A3" s="93" t="s">
        <v>3</v>
      </c>
      <c r="B3" s="93"/>
      <c r="C3" s="94" t="s">
        <v>4</v>
      </c>
      <c r="D3" s="94"/>
      <c r="E3" s="94"/>
      <c r="F3" s="94"/>
      <c r="G3" s="94"/>
      <c r="H3" s="94"/>
    </row>
    <row r="4" spans="1:18" ht="48" customHeight="1">
      <c r="A4" s="93" t="s">
        <v>5</v>
      </c>
      <c r="B4" s="93"/>
      <c r="C4" s="97" t="s">
        <v>104</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105</v>
      </c>
      <c r="B9" s="74"/>
      <c r="C9" s="74"/>
      <c r="D9" s="74"/>
      <c r="E9" s="74"/>
      <c r="F9" s="74"/>
      <c r="G9" s="74"/>
      <c r="H9" s="74"/>
      <c r="R9" s="48" t="s">
        <v>9</v>
      </c>
    </row>
    <row r="10" spans="1:18" s="52" customFormat="1" ht="15">
      <c r="A10" s="49" t="s">
        <v>10</v>
      </c>
      <c r="B10" s="50" t="s">
        <v>11</v>
      </c>
      <c r="C10" s="75" t="s">
        <v>12</v>
      </c>
      <c r="D10" s="75"/>
      <c r="E10" s="75"/>
      <c r="F10" s="75"/>
      <c r="G10" s="51" t="s">
        <v>13</v>
      </c>
      <c r="H10" s="51" t="s">
        <v>9</v>
      </c>
      <c r="J10" s="52" t="s">
        <v>14</v>
      </c>
      <c r="K10" s="52" t="s">
        <v>15</v>
      </c>
      <c r="L10" s="52" t="s">
        <v>16</v>
      </c>
      <c r="N10" s="52" t="s">
        <v>17</v>
      </c>
      <c r="R10" s="52">
        <v>270</v>
      </c>
    </row>
    <row r="11" spans="1:18" s="2" customFormat="1" ht="21.95" customHeight="1">
      <c r="A11" s="14">
        <f>N11</f>
        <v>466.30500000000001</v>
      </c>
      <c r="B11" s="15" t="s">
        <v>18</v>
      </c>
      <c r="C11" s="76" t="s">
        <v>19</v>
      </c>
      <c r="D11" s="76"/>
      <c r="E11" s="76"/>
      <c r="F11" s="76"/>
      <c r="G11" s="16">
        <f>R10</f>
        <v>270</v>
      </c>
      <c r="H11" s="17">
        <f>G11*A11</f>
        <v>125902.35</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270</v>
      </c>
      <c r="H12" s="17">
        <f>A12*G12</f>
        <v>37212.209999999992</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270</v>
      </c>
      <c r="H13" s="17">
        <f>A13*G13</f>
        <v>17920.035000000003</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183554.595</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106</v>
      </c>
      <c r="B19" s="87"/>
      <c r="C19" s="87"/>
      <c r="D19" s="87"/>
      <c r="E19" s="87"/>
      <c r="F19" s="87"/>
      <c r="G19" s="87"/>
      <c r="H19" s="87"/>
      <c r="J19" s="56"/>
      <c r="K19" s="57"/>
      <c r="L19" s="56"/>
      <c r="N19" s="56"/>
    </row>
    <row r="20" spans="1:14" s="52" customFormat="1" ht="15">
      <c r="A20" s="49"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270</v>
      </c>
      <c r="H21" s="17">
        <f t="shared" ref="H21:H23"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270</v>
      </c>
      <c r="H22" s="17">
        <f t="shared" si="1"/>
        <v>9253.4399999999987</v>
      </c>
      <c r="I22" s="48"/>
      <c r="J22" s="2">
        <v>32.64</v>
      </c>
      <c r="K22" s="57">
        <v>0.05</v>
      </c>
      <c r="L22" s="56">
        <f t="shared" si="2"/>
        <v>1.6320000000000001</v>
      </c>
      <c r="N22" s="56">
        <f t="shared" si="3"/>
        <v>34.271999999999998</v>
      </c>
    </row>
    <row r="23" spans="1:14" s="56" customFormat="1" ht="21.6" customHeight="1">
      <c r="A23" s="65">
        <f t="shared" ref="A23" si="4">N23</f>
        <v>11.55</v>
      </c>
      <c r="B23" s="54" t="s">
        <v>18</v>
      </c>
      <c r="C23" s="106" t="s">
        <v>30</v>
      </c>
      <c r="D23" s="106"/>
      <c r="E23" s="106"/>
      <c r="F23" s="106"/>
      <c r="G23" s="66">
        <f>R10</f>
        <v>270</v>
      </c>
      <c r="H23" s="17">
        <f t="shared" si="1"/>
        <v>3118.5</v>
      </c>
      <c r="I23" s="48"/>
      <c r="J23" s="2">
        <v>10.5</v>
      </c>
      <c r="K23" s="57">
        <v>0.1</v>
      </c>
      <c r="L23" s="56">
        <f t="shared" ref="L23" si="5">J23*K23</f>
        <v>1.05</v>
      </c>
      <c r="N23" s="56">
        <f t="shared" ref="N23" si="6">J23+L23</f>
        <v>11.55</v>
      </c>
    </row>
    <row r="24" spans="1:14" s="58" customFormat="1" ht="15.75">
      <c r="A24" s="19">
        <f>A22+A23</f>
        <v>45.822000000000003</v>
      </c>
      <c r="B24" s="20" t="s">
        <v>25</v>
      </c>
      <c r="C24" s="83"/>
      <c r="D24" s="83"/>
      <c r="E24" s="83"/>
      <c r="F24" s="83"/>
      <c r="G24" s="20" t="s">
        <v>26</v>
      </c>
      <c r="H24" s="22">
        <f>H22+H23</f>
        <v>12371.939999999999</v>
      </c>
      <c r="I24" s="48"/>
      <c r="J24" s="56">
        <f>SUM(J21:J23)</f>
        <v>55.14</v>
      </c>
      <c r="K24" s="57"/>
      <c r="L24" s="56"/>
      <c r="M24" s="56"/>
      <c r="N24" s="56"/>
    </row>
    <row r="25" spans="1:14" s="48" customFormat="1">
      <c r="A25" s="100"/>
      <c r="B25" s="101"/>
      <c r="C25" s="101"/>
      <c r="D25" s="101"/>
      <c r="E25" s="101"/>
      <c r="F25" s="101"/>
      <c r="G25" s="101"/>
      <c r="H25" s="102"/>
    </row>
    <row r="26" spans="1:14" s="48" customFormat="1" ht="18">
      <c r="A26" s="74" t="s">
        <v>107</v>
      </c>
      <c r="B26" s="74"/>
      <c r="C26" s="74"/>
      <c r="D26" s="74"/>
      <c r="E26" s="74"/>
      <c r="F26" s="74"/>
      <c r="G26" s="74"/>
      <c r="H26" s="74"/>
      <c r="J26" s="56" t="e">
        <f>#REF!+J23</f>
        <v>#REF!</v>
      </c>
      <c r="K26" s="57"/>
      <c r="L26" s="56"/>
      <c r="N26" s="56"/>
    </row>
    <row r="27" spans="1:14" s="52" customFormat="1" ht="15">
      <c r="A27" s="49" t="s">
        <v>10</v>
      </c>
      <c r="B27" s="50" t="s">
        <v>11</v>
      </c>
      <c r="C27" s="75" t="s">
        <v>12</v>
      </c>
      <c r="D27" s="75"/>
      <c r="E27" s="75"/>
      <c r="F27" s="75"/>
      <c r="G27" s="51" t="s">
        <v>13</v>
      </c>
      <c r="H27" s="51" t="s">
        <v>9</v>
      </c>
      <c r="I27" s="48"/>
      <c r="J27" s="56"/>
      <c r="K27" s="57"/>
      <c r="L27" s="56"/>
      <c r="N27" s="56"/>
    </row>
    <row r="28" spans="1:14" s="56" customFormat="1" ht="36.6" customHeight="1">
      <c r="A28" s="67">
        <f>N28</f>
        <v>28.561</v>
      </c>
      <c r="B28" s="59" t="s">
        <v>18</v>
      </c>
      <c r="C28" s="103" t="s">
        <v>31</v>
      </c>
      <c r="D28" s="104"/>
      <c r="E28" s="104"/>
      <c r="F28" s="105"/>
      <c r="G28" s="55">
        <f>R10</f>
        <v>270</v>
      </c>
      <c r="H28" s="17">
        <f>G28*A28</f>
        <v>7711.47</v>
      </c>
      <c r="I28" s="48"/>
      <c r="J28" s="56">
        <v>21.97</v>
      </c>
      <c r="K28" s="57">
        <v>0.3</v>
      </c>
      <c r="L28" s="56">
        <f t="shared" ref="L28" si="7">J28*K28</f>
        <v>6.5909999999999993</v>
      </c>
      <c r="N28" s="56">
        <f t="shared" ref="N28" si="8">J28+L28</f>
        <v>28.561</v>
      </c>
    </row>
    <row r="29" spans="1:14" s="58" customFormat="1" ht="15.75">
      <c r="A29" s="19">
        <f>A28</f>
        <v>28.561</v>
      </c>
      <c r="B29" s="20" t="s">
        <v>25</v>
      </c>
      <c r="C29" s="83"/>
      <c r="D29" s="83"/>
      <c r="E29" s="83"/>
      <c r="F29" s="83"/>
      <c r="G29" s="20" t="s">
        <v>26</v>
      </c>
      <c r="H29" s="21">
        <f>H28</f>
        <v>7711.47</v>
      </c>
      <c r="I29" s="48"/>
      <c r="J29" s="56">
        <f>SUM(J28:J28)</f>
        <v>21.97</v>
      </c>
      <c r="K29" s="57"/>
      <c r="L29" s="56"/>
      <c r="M29" s="56"/>
      <c r="N29" s="56"/>
    </row>
    <row r="30" spans="1:14" s="48" customFormat="1">
      <c r="A30" s="100"/>
      <c r="B30" s="101"/>
      <c r="C30" s="101"/>
      <c r="D30" s="101"/>
      <c r="E30" s="101"/>
      <c r="F30" s="101"/>
      <c r="G30" s="101"/>
      <c r="H30" s="102"/>
    </row>
    <row r="31" spans="1:14" s="48" customFormat="1" ht="18">
      <c r="A31" s="74" t="s">
        <v>108</v>
      </c>
      <c r="B31" s="74"/>
      <c r="C31" s="74"/>
      <c r="D31" s="74"/>
      <c r="E31" s="74"/>
      <c r="F31" s="74"/>
      <c r="G31" s="74"/>
      <c r="H31" s="74"/>
      <c r="J31" s="56"/>
      <c r="K31" s="57"/>
      <c r="L31" s="56"/>
      <c r="N31" s="56"/>
    </row>
    <row r="32" spans="1:14" s="52" customFormat="1" ht="15">
      <c r="A32" s="49" t="s">
        <v>10</v>
      </c>
      <c r="B32" s="50" t="s">
        <v>11</v>
      </c>
      <c r="C32" s="75" t="s">
        <v>12</v>
      </c>
      <c r="D32" s="75"/>
      <c r="E32" s="75"/>
      <c r="F32" s="75"/>
      <c r="G32" s="51" t="s">
        <v>13</v>
      </c>
      <c r="H32" s="51" t="s">
        <v>9</v>
      </c>
      <c r="I32" s="48"/>
      <c r="J32" s="56"/>
      <c r="K32" s="57"/>
      <c r="L32" s="56"/>
      <c r="N32" s="56"/>
    </row>
    <row r="33" spans="1:15" s="56" customFormat="1" ht="22.5" customHeight="1">
      <c r="A33" s="53">
        <f>N33</f>
        <v>50.4</v>
      </c>
      <c r="B33" s="54" t="s">
        <v>18</v>
      </c>
      <c r="C33" s="76" t="s">
        <v>32</v>
      </c>
      <c r="D33" s="76"/>
      <c r="E33" s="76"/>
      <c r="F33" s="76"/>
      <c r="G33" s="55">
        <f>R10</f>
        <v>270</v>
      </c>
      <c r="H33" s="17">
        <f>G33*A33</f>
        <v>13608</v>
      </c>
      <c r="I33" s="48"/>
      <c r="J33" s="56">
        <v>48</v>
      </c>
      <c r="K33" s="57">
        <v>0.05</v>
      </c>
      <c r="L33" s="56">
        <f t="shared" ref="L33" si="9">J33*K33</f>
        <v>2.4000000000000004</v>
      </c>
      <c r="N33" s="56">
        <f t="shared" ref="N33" si="10">J33+L33</f>
        <v>50.4</v>
      </c>
    </row>
    <row r="34" spans="1:15" s="58" customFormat="1" ht="15.75">
      <c r="A34" s="19">
        <f>SUM(A33:A33)</f>
        <v>50.4</v>
      </c>
      <c r="B34" s="20" t="s">
        <v>25</v>
      </c>
      <c r="C34" s="83"/>
      <c r="D34" s="83"/>
      <c r="E34" s="83"/>
      <c r="F34" s="83"/>
      <c r="G34" s="20"/>
      <c r="H34" s="22">
        <f>H33</f>
        <v>13608</v>
      </c>
      <c r="I34" s="48"/>
      <c r="J34" s="56"/>
      <c r="K34" s="57"/>
      <c r="L34" s="56"/>
      <c r="M34" s="56"/>
      <c r="N34" s="56"/>
    </row>
    <row r="35" spans="1:15" s="48" customFormat="1">
      <c r="A35" s="100"/>
      <c r="B35" s="101"/>
      <c r="C35" s="101"/>
      <c r="D35" s="101"/>
      <c r="E35" s="101"/>
      <c r="F35" s="101"/>
      <c r="G35" s="101"/>
      <c r="H35" s="102"/>
    </row>
    <row r="36" spans="1:15" s="48" customFormat="1" ht="18">
      <c r="A36" s="74" t="s">
        <v>109</v>
      </c>
      <c r="B36" s="74"/>
      <c r="C36" s="74"/>
      <c r="D36" s="74"/>
      <c r="E36" s="74"/>
      <c r="F36" s="74"/>
      <c r="G36" s="74"/>
      <c r="H36" s="74"/>
      <c r="J36" s="56"/>
      <c r="K36" s="57"/>
      <c r="L36" s="56"/>
      <c r="N36" s="56"/>
    </row>
    <row r="37" spans="1:15" s="52" customFormat="1" ht="15">
      <c r="A37" s="49" t="s">
        <v>10</v>
      </c>
      <c r="B37" s="50" t="s">
        <v>11</v>
      </c>
      <c r="C37" s="75" t="s">
        <v>12</v>
      </c>
      <c r="D37" s="75"/>
      <c r="E37" s="75"/>
      <c r="F37" s="75"/>
      <c r="G37" s="51" t="s">
        <v>13</v>
      </c>
      <c r="H37" s="51" t="s">
        <v>9</v>
      </c>
      <c r="I37" s="48"/>
      <c r="J37" s="56"/>
      <c r="K37" s="57"/>
      <c r="L37" s="56"/>
      <c r="N37" s="56"/>
    </row>
    <row r="38" spans="1:15" s="2" customFormat="1" ht="30.75" customHeight="1">
      <c r="A38" s="68">
        <f>N38</f>
        <v>43.05</v>
      </c>
      <c r="B38" s="15" t="s">
        <v>18</v>
      </c>
      <c r="C38" s="76" t="s">
        <v>135</v>
      </c>
      <c r="D38" s="76"/>
      <c r="E38" s="76"/>
      <c r="F38" s="76"/>
      <c r="G38" s="16">
        <f>R10</f>
        <v>270</v>
      </c>
      <c r="H38" s="17">
        <f>G38*A38</f>
        <v>11623.5</v>
      </c>
      <c r="I38" s="1"/>
      <c r="J38" s="2">
        <v>41</v>
      </c>
      <c r="K38" s="40">
        <v>0.05</v>
      </c>
      <c r="L38" s="2">
        <f t="shared" ref="L38" si="11">J38*K38</f>
        <v>2.0500000000000003</v>
      </c>
      <c r="N38" s="2">
        <f t="shared" ref="N38" si="12">J38+L38</f>
        <v>43.05</v>
      </c>
    </row>
    <row r="39" spans="1:15" s="58" customFormat="1" ht="15.75">
      <c r="A39" s="19">
        <f>SUM(A38:A38)</f>
        <v>43.05</v>
      </c>
      <c r="B39" s="20" t="s">
        <v>25</v>
      </c>
      <c r="C39" s="83"/>
      <c r="D39" s="83"/>
      <c r="E39" s="83"/>
      <c r="F39" s="83"/>
      <c r="G39" s="20" t="s">
        <v>26</v>
      </c>
      <c r="H39" s="22">
        <f>H38</f>
        <v>11623.5</v>
      </c>
      <c r="I39" s="48"/>
      <c r="J39" s="56" t="e">
        <f>J38+#REF!+#REF!+#REF!+J28+J23+#REF!+J22+J21+J13+J12+J11</f>
        <v>#REF!</v>
      </c>
      <c r="K39" s="57"/>
      <c r="L39" s="56"/>
      <c r="M39" s="56"/>
      <c r="N39" s="56"/>
    </row>
    <row r="40" spans="1:15" s="48" customFormat="1" ht="15.75" customHeight="1">
      <c r="A40" s="100"/>
      <c r="B40" s="101"/>
      <c r="C40" s="101"/>
      <c r="D40" s="101"/>
      <c r="E40" s="101"/>
      <c r="F40" s="101"/>
      <c r="G40" s="101"/>
      <c r="H40" s="102"/>
    </row>
    <row r="41" spans="1:15" s="48" customFormat="1" ht="18" hidden="1">
      <c r="A41" s="74" t="s">
        <v>33</v>
      </c>
      <c r="B41" s="74"/>
      <c r="C41" s="74"/>
      <c r="D41" s="74"/>
      <c r="E41" s="74"/>
      <c r="F41" s="74"/>
      <c r="G41" s="74"/>
      <c r="H41" s="74"/>
      <c r="J41" s="56"/>
      <c r="K41" s="57"/>
      <c r="L41" s="56">
        <v>90</v>
      </c>
      <c r="M41" s="48">
        <f>A38/L41</f>
        <v>0.47833333333333328</v>
      </c>
      <c r="N41" s="56">
        <v>30</v>
      </c>
      <c r="O41" s="48">
        <f>N41*M41</f>
        <v>14.349999999999998</v>
      </c>
    </row>
    <row r="42" spans="1:15" s="52" customFormat="1" ht="15" hidden="1">
      <c r="A42" s="49" t="s">
        <v>10</v>
      </c>
      <c r="B42" s="50" t="s">
        <v>11</v>
      </c>
      <c r="C42" s="75" t="s">
        <v>12</v>
      </c>
      <c r="D42" s="75"/>
      <c r="E42" s="75"/>
      <c r="F42" s="75"/>
      <c r="G42" s="51" t="s">
        <v>13</v>
      </c>
      <c r="H42" s="51" t="s">
        <v>9</v>
      </c>
      <c r="I42" s="48"/>
      <c r="J42" s="56"/>
      <c r="K42" s="57"/>
      <c r="L42" s="56"/>
      <c r="N42" s="56"/>
    </row>
    <row r="43" spans="1:15" s="2" customFormat="1" ht="22.5" hidden="1" customHeight="1">
      <c r="A43" s="68">
        <v>0</v>
      </c>
      <c r="B43" s="15" t="s">
        <v>18</v>
      </c>
      <c r="C43" s="76" t="s">
        <v>34</v>
      </c>
      <c r="D43" s="76"/>
      <c r="E43" s="76"/>
      <c r="F43" s="76"/>
      <c r="G43" s="16">
        <f>G38</f>
        <v>270</v>
      </c>
      <c r="H43" s="17">
        <f>G43*A43</f>
        <v>0</v>
      </c>
      <c r="I43" s="1"/>
      <c r="J43" s="2">
        <v>25.55</v>
      </c>
      <c r="K43" s="40">
        <v>0.05</v>
      </c>
      <c r="L43" s="2">
        <f t="shared" ref="L43" si="13">J43*K43</f>
        <v>1.2775000000000001</v>
      </c>
      <c r="N43" s="2">
        <f t="shared" ref="N43" si="14">J43+L43</f>
        <v>26.827500000000001</v>
      </c>
    </row>
    <row r="44" spans="1:15" s="58" customFormat="1" ht="15.75" hidden="1">
      <c r="A44" s="19">
        <f>SUM(A43:A43)</f>
        <v>0</v>
      </c>
      <c r="B44" s="20" t="s">
        <v>25</v>
      </c>
      <c r="C44" s="83"/>
      <c r="D44" s="83"/>
      <c r="E44" s="83"/>
      <c r="F44" s="83"/>
      <c r="G44" s="20" t="s">
        <v>26</v>
      </c>
      <c r="H44" s="22">
        <f>H43</f>
        <v>0</v>
      </c>
      <c r="I44" s="48"/>
      <c r="J44" s="56" t="e">
        <f>J43+#REF!+J38+#REF!+#REF!+J27+#REF!+J25+J24+J17+J16+J15</f>
        <v>#REF!</v>
      </c>
      <c r="K44" s="57"/>
      <c r="L44" s="56"/>
      <c r="M44" s="56"/>
      <c r="N44" s="56"/>
    </row>
    <row r="45" spans="1:15" s="48" customFormat="1" ht="15.75" hidden="1" customHeight="1">
      <c r="A45" s="100"/>
      <c r="B45" s="101"/>
      <c r="C45" s="101"/>
      <c r="D45" s="101"/>
      <c r="E45" s="101"/>
      <c r="F45" s="101"/>
      <c r="G45" s="101"/>
      <c r="H45" s="102"/>
    </row>
    <row r="46" spans="1:15" s="48" customFormat="1" ht="21.75" customHeight="1">
      <c r="A46" s="60">
        <f>A39+A34+A29+A24+A16</f>
        <v>838.33149999999989</v>
      </c>
      <c r="B46" s="26" t="s">
        <v>25</v>
      </c>
      <c r="C46" s="107" t="s">
        <v>35</v>
      </c>
      <c r="D46" s="107"/>
      <c r="E46" s="107"/>
      <c r="F46" s="107"/>
      <c r="G46" s="26" t="s">
        <v>26</v>
      </c>
      <c r="H46" s="61">
        <f>H39+H34+H29+H24+H16</f>
        <v>228869.505</v>
      </c>
      <c r="K46" s="62"/>
    </row>
    <row r="47" spans="1:15" s="48" customFormat="1" ht="21.75" customHeight="1">
      <c r="A47" s="108"/>
      <c r="B47" s="108"/>
      <c r="C47" s="108"/>
      <c r="D47" s="108"/>
      <c r="E47" s="108"/>
      <c r="F47" s="108"/>
      <c r="G47" s="108"/>
      <c r="H47" s="108"/>
    </row>
    <row r="48" spans="1:15" s="1" customFormat="1" ht="18">
      <c r="A48" s="109" t="s">
        <v>36</v>
      </c>
      <c r="B48" s="109"/>
      <c r="C48" s="109"/>
      <c r="D48" s="109"/>
      <c r="E48" s="109"/>
      <c r="F48" s="109"/>
      <c r="G48" s="109"/>
      <c r="H48" s="109"/>
    </row>
    <row r="49" spans="1:15" s="1" customFormat="1" ht="15">
      <c r="A49" s="11" t="s">
        <v>10</v>
      </c>
      <c r="B49" s="12" t="s">
        <v>11</v>
      </c>
      <c r="C49" s="110" t="s">
        <v>37</v>
      </c>
      <c r="D49" s="110"/>
      <c r="E49" s="110"/>
      <c r="F49" s="110"/>
      <c r="G49" s="13" t="s">
        <v>13</v>
      </c>
      <c r="H49" s="13" t="s">
        <v>9</v>
      </c>
      <c r="J49" s="1">
        <v>1700</v>
      </c>
      <c r="K49" s="1">
        <f>J49/A51</f>
        <v>22.666666666666668</v>
      </c>
    </row>
    <row r="50" spans="1:15" s="1" customFormat="1" ht="53.1" customHeight="1">
      <c r="A50" s="23">
        <v>110</v>
      </c>
      <c r="B50" s="23" t="s">
        <v>22</v>
      </c>
      <c r="C50" s="128" t="s">
        <v>38</v>
      </c>
      <c r="D50" s="129"/>
      <c r="E50" s="129"/>
      <c r="F50" s="130"/>
      <c r="G50" s="24">
        <v>360</v>
      </c>
      <c r="H50" s="25">
        <f>A50*G50</f>
        <v>39600</v>
      </c>
    </row>
    <row r="51" spans="1:15" s="1" customFormat="1" ht="38.450000000000003" customHeight="1">
      <c r="A51" s="23">
        <v>75</v>
      </c>
      <c r="B51" s="23" t="s">
        <v>22</v>
      </c>
      <c r="C51" s="131" t="s">
        <v>39</v>
      </c>
      <c r="D51" s="131"/>
      <c r="E51" s="131"/>
      <c r="F51" s="131"/>
      <c r="G51" s="24">
        <v>180</v>
      </c>
      <c r="H51" s="25">
        <f>A51*G51</f>
        <v>13500</v>
      </c>
      <c r="J51"/>
      <c r="L51"/>
    </row>
    <row r="52" spans="1:15" s="1" customFormat="1" ht="42.95" customHeight="1">
      <c r="A52" s="15">
        <v>1</v>
      </c>
      <c r="B52" s="15" t="s">
        <v>40</v>
      </c>
      <c r="C52" s="132" t="s">
        <v>41</v>
      </c>
      <c r="D52" s="133"/>
      <c r="E52" s="133"/>
      <c r="F52" s="133"/>
      <c r="G52" s="24">
        <v>9000</v>
      </c>
      <c r="H52" s="25">
        <f>A52*G52</f>
        <v>9000</v>
      </c>
      <c r="J52"/>
      <c r="L52"/>
    </row>
    <row r="53" spans="1:15" s="48" customFormat="1" ht="15.75">
      <c r="A53" s="26"/>
      <c r="B53" s="26" t="s">
        <v>17</v>
      </c>
      <c r="C53" s="107" t="s">
        <v>42</v>
      </c>
      <c r="D53" s="107"/>
      <c r="E53" s="107"/>
      <c r="F53" s="107"/>
      <c r="G53" s="27" t="s">
        <v>43</v>
      </c>
      <c r="H53" s="28">
        <f>H50+H51+H52</f>
        <v>62100</v>
      </c>
    </row>
    <row r="54" spans="1:15" s="48" customFormat="1">
      <c r="A54" s="108"/>
      <c r="B54" s="108"/>
      <c r="C54" s="108"/>
      <c r="D54" s="108"/>
      <c r="E54" s="108"/>
      <c r="F54" s="108"/>
      <c r="G54" s="108"/>
      <c r="H54" s="108"/>
      <c r="J54" s="48" t="e">
        <f>J39-J38-#REF!</f>
        <v>#REF!</v>
      </c>
    </row>
    <row r="55" spans="1:15" s="48" customFormat="1" ht="15" customHeight="1">
      <c r="A55" s="111" t="s">
        <v>44</v>
      </c>
      <c r="B55" s="111"/>
      <c r="C55" s="111"/>
      <c r="D55" s="111"/>
      <c r="E55" s="111"/>
      <c r="F55" s="111"/>
      <c r="G55" s="111"/>
      <c r="H55" s="111"/>
    </row>
    <row r="56" spans="1:15" s="48" customFormat="1" ht="388.5" customHeight="1">
      <c r="A56" s="112"/>
      <c r="B56" s="113"/>
      <c r="C56" s="113"/>
      <c r="D56" s="113"/>
      <c r="E56" s="113"/>
      <c r="F56" s="113"/>
      <c r="G56" s="113"/>
      <c r="H56" s="114"/>
      <c r="J56" s="63"/>
    </row>
    <row r="57" spans="1:15" s="48" customFormat="1" ht="41.25" customHeight="1">
      <c r="A57" s="115"/>
      <c r="B57" s="116"/>
      <c r="C57" s="116"/>
      <c r="D57" s="116"/>
      <c r="E57" s="116"/>
      <c r="F57" s="116"/>
      <c r="G57" s="116"/>
      <c r="H57" s="117"/>
    </row>
    <row r="58" spans="1:15" ht="28.15" customHeight="1">
      <c r="A58" s="118" t="s">
        <v>45</v>
      </c>
      <c r="B58" s="119"/>
      <c r="C58" s="119"/>
      <c r="D58" s="119"/>
      <c r="E58" s="119"/>
      <c r="F58" s="120"/>
      <c r="G58" s="29" t="s">
        <v>43</v>
      </c>
      <c r="H58" s="30">
        <f>H46+H53</f>
        <v>290969.505</v>
      </c>
      <c r="J58" s="41"/>
    </row>
    <row r="59" spans="1:15" ht="28.15" hidden="1" customHeight="1">
      <c r="A59" s="121"/>
      <c r="B59" s="122"/>
      <c r="C59" s="122"/>
      <c r="D59" s="122"/>
      <c r="E59" s="122"/>
      <c r="F59" s="123"/>
      <c r="G59" s="29" t="s">
        <v>46</v>
      </c>
      <c r="H59" s="30">
        <v>0</v>
      </c>
      <c r="J59" s="42"/>
    </row>
    <row r="60" spans="1:15" ht="23.25" customHeight="1">
      <c r="A60" s="124"/>
      <c r="B60" s="125"/>
      <c r="C60" s="125"/>
      <c r="D60" s="125"/>
      <c r="E60" s="125"/>
      <c r="F60" s="126"/>
      <c r="G60" s="31" t="s">
        <v>47</v>
      </c>
      <c r="H60" s="32">
        <f>H58-H59</f>
        <v>290969.505</v>
      </c>
      <c r="J60" s="42"/>
    </row>
    <row r="61" spans="1:15" ht="21.95" customHeight="1">
      <c r="A61" s="74" t="s">
        <v>48</v>
      </c>
      <c r="B61" s="74"/>
      <c r="C61" s="127" t="s">
        <v>110</v>
      </c>
      <c r="D61" s="127"/>
      <c r="E61" s="127"/>
      <c r="F61" s="127"/>
      <c r="G61" s="33" t="s">
        <v>49</v>
      </c>
      <c r="H61" s="34">
        <v>9000</v>
      </c>
      <c r="I61" s="4">
        <v>9</v>
      </c>
      <c r="J61" s="43"/>
    </row>
    <row r="62" spans="1:15" ht="21.95" customHeight="1">
      <c r="A62" s="74"/>
      <c r="B62" s="74"/>
      <c r="C62" s="127"/>
      <c r="D62" s="127"/>
      <c r="E62" s="127"/>
      <c r="F62" s="127"/>
      <c r="G62" s="31" t="s">
        <v>50</v>
      </c>
      <c r="H62" s="30">
        <f>H60+H61</f>
        <v>299969.505</v>
      </c>
      <c r="J62" s="42"/>
    </row>
    <row r="63" spans="1:15" ht="21.95" customHeight="1">
      <c r="A63" s="74"/>
      <c r="B63" s="74"/>
      <c r="C63" s="127"/>
      <c r="D63" s="127"/>
      <c r="E63" s="127"/>
      <c r="F63" s="127"/>
      <c r="G63" s="33" t="s">
        <v>51</v>
      </c>
      <c r="H63" s="34">
        <f>H62*0.16</f>
        <v>47995.120800000004</v>
      </c>
      <c r="J63" s="43">
        <v>19</v>
      </c>
      <c r="K63" s="4">
        <f>H58*J63</f>
        <v>5528420.5949999997</v>
      </c>
      <c r="O63" s="44">
        <f>H64*4</f>
        <v>1391858.5032000002</v>
      </c>
    </row>
    <row r="64" spans="1:15" ht="21.95" customHeight="1">
      <c r="A64" s="74"/>
      <c r="B64" s="74"/>
      <c r="C64" s="127"/>
      <c r="D64" s="127"/>
      <c r="E64" s="127"/>
      <c r="F64" s="127"/>
      <c r="G64" s="35" t="s">
        <v>52</v>
      </c>
      <c r="H64" s="36">
        <f>H62+H63</f>
        <v>347964.62580000004</v>
      </c>
      <c r="I64" s="44">
        <f>H64/A46</f>
        <v>415.06805577507237</v>
      </c>
      <c r="J64" s="45"/>
    </row>
    <row r="65" spans="1:13">
      <c r="A65" s="88"/>
      <c r="B65" s="88"/>
      <c r="C65" s="88"/>
      <c r="D65" s="88"/>
      <c r="E65" s="88"/>
      <c r="F65" s="88"/>
      <c r="G65" s="88"/>
      <c r="H65" s="88"/>
    </row>
    <row r="66" spans="1:13" ht="31.15" customHeight="1">
      <c r="A66" s="74" t="s">
        <v>53</v>
      </c>
      <c r="B66" s="74"/>
      <c r="C66" s="74"/>
      <c r="D66" s="74"/>
      <c r="E66" s="74"/>
      <c r="F66" s="74"/>
      <c r="G66" s="74"/>
      <c r="H66" s="74"/>
      <c r="J66" s="44"/>
    </row>
    <row r="67" spans="1:13" ht="12" customHeight="1">
      <c r="A67" s="134"/>
      <c r="B67" s="134"/>
      <c r="C67" s="134"/>
      <c r="D67" s="134"/>
      <c r="E67" s="134"/>
      <c r="F67" s="134"/>
      <c r="G67" s="134"/>
      <c r="H67" s="134"/>
      <c r="K67" s="44">
        <f>H60*12</f>
        <v>3491634.06</v>
      </c>
    </row>
    <row r="68" spans="1:13" ht="30.75" customHeight="1" thickBot="1">
      <c r="A68" s="135" t="s">
        <v>54</v>
      </c>
      <c r="B68" s="135"/>
      <c r="C68" s="136" t="s">
        <v>55</v>
      </c>
      <c r="D68" s="136"/>
      <c r="E68" s="136"/>
      <c r="F68" s="136"/>
      <c r="G68" s="137" t="s">
        <v>56</v>
      </c>
      <c r="H68" s="137"/>
    </row>
    <row r="69" spans="1:13" ht="19.899999999999999" customHeight="1" thickBot="1">
      <c r="A69" s="138" t="s">
        <v>57</v>
      </c>
      <c r="B69" s="138"/>
      <c r="C69" s="136" t="s">
        <v>58</v>
      </c>
      <c r="D69" s="136"/>
      <c r="E69" s="136"/>
      <c r="F69" s="136"/>
      <c r="G69" s="139"/>
      <c r="H69" s="140"/>
      <c r="K69" s="64">
        <f>H64*3</f>
        <v>1043893.8774000001</v>
      </c>
    </row>
    <row r="70" spans="1:13" ht="27.6" customHeight="1">
      <c r="A70" s="142" t="s">
        <v>59</v>
      </c>
      <c r="B70" s="143"/>
      <c r="C70" s="37" t="s">
        <v>60</v>
      </c>
      <c r="D70" s="148">
        <f>H64*0.6</f>
        <v>208778.77548000001</v>
      </c>
      <c r="E70" s="148"/>
      <c r="F70" s="148"/>
      <c r="G70" s="149"/>
      <c r="H70" s="150"/>
    </row>
    <row r="71" spans="1:13" ht="39" customHeight="1">
      <c r="A71" s="144"/>
      <c r="B71" s="145"/>
      <c r="C71" s="37" t="s">
        <v>98</v>
      </c>
      <c r="D71" s="141">
        <f>H64*0.3</f>
        <v>104389.38774000001</v>
      </c>
      <c r="E71" s="141"/>
      <c r="F71" s="141"/>
      <c r="G71" s="151"/>
      <c r="H71" s="152"/>
      <c r="J71" s="44">
        <f>H64-'[1]CTZ 8T (altura 270.7)'!H66</f>
        <v>109663.27041280008</v>
      </c>
    </row>
    <row r="72" spans="1:13" ht="39" customHeight="1">
      <c r="A72" s="144"/>
      <c r="B72" s="145"/>
      <c r="C72" s="37" t="s">
        <v>99</v>
      </c>
      <c r="D72" s="141">
        <f>H64*0.1</f>
        <v>34796.462580000007</v>
      </c>
      <c r="E72" s="141"/>
      <c r="F72" s="141"/>
      <c r="G72" s="151"/>
      <c r="H72" s="152"/>
      <c r="J72" s="44"/>
    </row>
    <row r="73" spans="1:13" ht="31.5" customHeight="1">
      <c r="A73" s="144"/>
      <c r="B73" s="145"/>
      <c r="C73" s="155" t="s">
        <v>61</v>
      </c>
      <c r="D73" s="157">
        <f>D70+D71+D72</f>
        <v>347964.62579999998</v>
      </c>
      <c r="E73" s="158"/>
      <c r="F73" s="159"/>
      <c r="G73" s="153"/>
      <c r="H73" s="154"/>
      <c r="J73" s="46"/>
      <c r="M73" s="46">
        <f>D70*8</f>
        <v>1670230.2038400001</v>
      </c>
    </row>
    <row r="74" spans="1:13" ht="5.45" hidden="1" customHeight="1">
      <c r="A74" s="146"/>
      <c r="B74" s="147"/>
      <c r="C74" s="156"/>
      <c r="D74" s="160"/>
      <c r="E74" s="161"/>
      <c r="F74" s="162"/>
      <c r="G74" s="163" t="s">
        <v>62</v>
      </c>
      <c r="H74" s="164"/>
    </row>
    <row r="75" spans="1:13" ht="24.95" customHeight="1">
      <c r="A75" s="172" t="s">
        <v>63</v>
      </c>
      <c r="B75" s="173"/>
      <c r="C75" s="38" t="s">
        <v>100</v>
      </c>
      <c r="D75" s="167"/>
      <c r="E75" s="168"/>
      <c r="F75" s="169"/>
      <c r="G75" s="165" t="s">
        <v>65</v>
      </c>
      <c r="H75" s="166"/>
      <c r="J75" s="38">
        <v>75</v>
      </c>
    </row>
    <row r="76" spans="1:13" ht="24.95" hidden="1" customHeight="1">
      <c r="A76" s="174"/>
      <c r="B76" s="175"/>
      <c r="C76" s="38" t="s">
        <v>66</v>
      </c>
      <c r="D76" s="167">
        <f>H64</f>
        <v>347964.62580000004</v>
      </c>
      <c r="E76" s="168"/>
      <c r="F76" s="169"/>
      <c r="G76" s="165" t="s">
        <v>65</v>
      </c>
      <c r="H76" s="166"/>
      <c r="J76" s="38">
        <v>120</v>
      </c>
      <c r="L76" s="46"/>
    </row>
    <row r="77" spans="1:13" ht="24.95" hidden="1" customHeight="1">
      <c r="A77" s="174"/>
      <c r="B77" s="175"/>
      <c r="C77" s="38" t="s">
        <v>64</v>
      </c>
      <c r="D77" s="167">
        <f>H64*3</f>
        <v>1043893.8774000001</v>
      </c>
      <c r="E77" s="168"/>
      <c r="F77" s="169"/>
      <c r="G77" s="165" t="s">
        <v>67</v>
      </c>
      <c r="H77" s="166"/>
      <c r="J77" s="38">
        <f t="shared" ref="J77" si="15">J76+15</f>
        <v>135</v>
      </c>
      <c r="L77" s="46"/>
    </row>
    <row r="78" spans="1:13" ht="24.95" hidden="1" customHeight="1">
      <c r="A78" s="174"/>
      <c r="B78" s="175"/>
      <c r="C78" s="38" t="s">
        <v>68</v>
      </c>
      <c r="D78" s="167">
        <f>H64*3</f>
        <v>1043893.8774000001</v>
      </c>
      <c r="E78" s="168"/>
      <c r="F78" s="169"/>
      <c r="G78" s="165" t="s">
        <v>69</v>
      </c>
      <c r="H78" s="166"/>
      <c r="J78" s="38">
        <f>J77+15</f>
        <v>150</v>
      </c>
    </row>
    <row r="79" spans="1:13" ht="24.95" hidden="1" customHeight="1">
      <c r="A79" s="174"/>
      <c r="B79" s="175"/>
      <c r="C79" s="38" t="s">
        <v>70</v>
      </c>
      <c r="D79" s="167">
        <f>H64*2</f>
        <v>695929.25160000008</v>
      </c>
      <c r="E79" s="168"/>
      <c r="F79" s="169"/>
      <c r="G79" s="165" t="s">
        <v>71</v>
      </c>
      <c r="H79" s="166"/>
      <c r="J79" s="47"/>
    </row>
    <row r="80" spans="1:13" ht="24.95" hidden="1" customHeight="1">
      <c r="A80" s="174"/>
      <c r="B80" s="175"/>
      <c r="C80" s="38" t="s">
        <v>72</v>
      </c>
      <c r="D80" s="167">
        <f>H64*2</f>
        <v>695929.25160000008</v>
      </c>
      <c r="E80" s="168"/>
      <c r="F80" s="169"/>
      <c r="G80" s="165" t="s">
        <v>71</v>
      </c>
      <c r="H80" s="166"/>
      <c r="J80" s="47"/>
    </row>
    <row r="81" spans="1:11" ht="24.95" hidden="1" customHeight="1">
      <c r="A81" s="176"/>
      <c r="B81" s="177"/>
      <c r="C81" s="38" t="s">
        <v>73</v>
      </c>
      <c r="D81" s="167">
        <f>H64*3</f>
        <v>1043893.8774000001</v>
      </c>
      <c r="E81" s="168"/>
      <c r="F81" s="169"/>
      <c r="G81" s="165" t="s">
        <v>74</v>
      </c>
      <c r="H81" s="166"/>
      <c r="J81" s="47"/>
    </row>
    <row r="82" spans="1:11" ht="19.149999999999999" customHeight="1">
      <c r="A82" s="135" t="s">
        <v>75</v>
      </c>
      <c r="B82" s="135"/>
      <c r="C82" s="170" t="s">
        <v>76</v>
      </c>
      <c r="D82" s="170"/>
      <c r="E82" s="170"/>
      <c r="F82" s="170"/>
      <c r="G82" s="91"/>
      <c r="H82" s="171"/>
      <c r="J82" s="46">
        <f>SUM(D76:F78)</f>
        <v>2435752.3806000003</v>
      </c>
    </row>
    <row r="83" spans="1:11" ht="10.15" customHeight="1">
      <c r="A83" s="88"/>
      <c r="B83" s="88"/>
      <c r="C83" s="88"/>
      <c r="D83" s="88"/>
      <c r="E83" s="88"/>
      <c r="F83" s="88"/>
      <c r="G83" s="189"/>
      <c r="H83" s="189"/>
      <c r="J83" s="46"/>
      <c r="K83" s="46"/>
    </row>
    <row r="84" spans="1:11" ht="69.75" customHeight="1">
      <c r="A84" s="137" t="s">
        <v>77</v>
      </c>
      <c r="B84" s="137"/>
      <c r="C84" s="190" t="s">
        <v>97</v>
      </c>
      <c r="D84" s="190"/>
      <c r="E84" s="190"/>
      <c r="F84" s="190"/>
      <c r="G84" s="190"/>
      <c r="H84" s="39"/>
      <c r="J84" s="46"/>
    </row>
    <row r="85" spans="1:11" ht="27" customHeight="1">
      <c r="A85" s="137"/>
      <c r="B85" s="137"/>
      <c r="C85" s="190" t="s">
        <v>78</v>
      </c>
      <c r="D85" s="190"/>
      <c r="E85" s="190"/>
      <c r="F85" s="190"/>
      <c r="G85" s="190"/>
      <c r="H85" s="39"/>
    </row>
    <row r="86" spans="1:11" ht="67.150000000000006" customHeight="1">
      <c r="A86" s="137"/>
      <c r="B86" s="137"/>
      <c r="C86" s="190" t="s">
        <v>79</v>
      </c>
      <c r="D86" s="190"/>
      <c r="E86" s="190"/>
      <c r="F86" s="190"/>
      <c r="G86" s="190"/>
      <c r="H86" s="39"/>
    </row>
    <row r="87" spans="1:11" ht="54" customHeight="1">
      <c r="A87" s="137"/>
      <c r="B87" s="137"/>
      <c r="C87" s="190" t="s">
        <v>80</v>
      </c>
      <c r="D87" s="190"/>
      <c r="E87" s="190"/>
      <c r="F87" s="190"/>
      <c r="G87" s="190"/>
      <c r="H87" s="39"/>
    </row>
    <row r="88" spans="1:11" ht="150.75" hidden="1" customHeight="1">
      <c r="A88" s="137"/>
      <c r="B88" s="137"/>
      <c r="C88" s="181" t="s">
        <v>81</v>
      </c>
      <c r="D88" s="182"/>
      <c r="E88" s="182"/>
      <c r="F88" s="182"/>
      <c r="G88" s="183"/>
      <c r="H88" s="39"/>
    </row>
    <row r="89" spans="1:11" ht="30" customHeight="1">
      <c r="A89" s="137"/>
      <c r="B89" s="137"/>
      <c r="C89" s="190" t="s">
        <v>82</v>
      </c>
      <c r="D89" s="190"/>
      <c r="E89" s="190"/>
      <c r="F89" s="190"/>
      <c r="G89" s="190"/>
      <c r="H89" s="39"/>
    </row>
    <row r="90" spans="1:11" ht="51" customHeight="1">
      <c r="A90" s="137"/>
      <c r="B90" s="137"/>
      <c r="C90" s="190" t="s">
        <v>83</v>
      </c>
      <c r="D90" s="190"/>
      <c r="E90" s="190"/>
      <c r="F90" s="190"/>
      <c r="G90" s="190"/>
      <c r="H90" s="39"/>
    </row>
    <row r="91" spans="1:11" ht="64.5" hidden="1" customHeight="1">
      <c r="A91" s="137"/>
      <c r="B91" s="137"/>
      <c r="C91" s="181" t="s">
        <v>84</v>
      </c>
      <c r="D91" s="182"/>
      <c r="E91" s="182"/>
      <c r="F91" s="182"/>
      <c r="G91" s="183"/>
      <c r="H91" s="39"/>
    </row>
    <row r="92" spans="1:11" ht="103.5" customHeight="1">
      <c r="A92" s="137"/>
      <c r="B92" s="137"/>
      <c r="C92" s="184" t="s">
        <v>85</v>
      </c>
      <c r="D92" s="184"/>
      <c r="E92" s="184"/>
      <c r="F92" s="184"/>
      <c r="G92" s="184"/>
      <c r="H92" s="39"/>
    </row>
    <row r="93" spans="1:11" ht="24.95" customHeight="1">
      <c r="A93" s="137"/>
      <c r="B93" s="137"/>
      <c r="C93" s="184" t="s">
        <v>86</v>
      </c>
      <c r="D93" s="184"/>
      <c r="E93" s="184"/>
      <c r="F93" s="184"/>
      <c r="G93" s="184"/>
      <c r="H93" s="39"/>
    </row>
    <row r="94" spans="1:11" ht="7.9" customHeight="1">
      <c r="A94" s="185"/>
      <c r="B94" s="185"/>
      <c r="C94" s="185"/>
      <c r="D94" s="185"/>
      <c r="E94" s="185"/>
      <c r="F94" s="185"/>
      <c r="G94" s="185"/>
      <c r="H94" s="185"/>
    </row>
    <row r="95" spans="1:11" ht="30" customHeight="1">
      <c r="A95" s="185"/>
      <c r="B95" s="185"/>
      <c r="C95" s="185"/>
      <c r="D95" s="185"/>
      <c r="E95" s="185"/>
      <c r="F95" s="185"/>
      <c r="G95" s="185"/>
      <c r="H95" s="185"/>
    </row>
    <row r="96" spans="1:11" ht="30" customHeight="1">
      <c r="A96" s="185"/>
      <c r="B96" s="185"/>
      <c r="C96" s="185"/>
      <c r="D96" s="185"/>
      <c r="E96" s="185"/>
      <c r="F96" s="185"/>
      <c r="G96" s="185"/>
      <c r="H96" s="185"/>
    </row>
    <row r="97" spans="1:8" ht="24" customHeight="1">
      <c r="A97" s="185"/>
      <c r="B97" s="185"/>
      <c r="C97" s="185"/>
      <c r="D97" s="185"/>
      <c r="E97" s="185"/>
      <c r="F97" s="185"/>
      <c r="G97" s="185"/>
      <c r="H97" s="185"/>
    </row>
    <row r="98" spans="1:8" ht="43.9" customHeight="1">
      <c r="A98" s="185"/>
      <c r="B98" s="185"/>
      <c r="C98" s="185"/>
      <c r="D98" s="185"/>
      <c r="E98" s="185"/>
      <c r="F98" s="185"/>
      <c r="G98" s="185"/>
      <c r="H98" s="185"/>
    </row>
    <row r="99" spans="1:8" ht="18">
      <c r="A99" s="186" t="s">
        <v>87</v>
      </c>
      <c r="B99" s="187"/>
      <c r="C99" s="187"/>
      <c r="D99" s="187"/>
      <c r="E99" s="187"/>
      <c r="F99" s="187"/>
      <c r="G99" s="187"/>
      <c r="H99" s="188"/>
    </row>
    <row r="100" spans="1:8">
      <c r="A100" s="178" t="s">
        <v>88</v>
      </c>
      <c r="B100" s="179"/>
      <c r="C100" s="179"/>
      <c r="D100" s="179"/>
      <c r="E100" s="179"/>
      <c r="F100" s="179"/>
      <c r="G100" s="179"/>
      <c r="H100" s="180"/>
    </row>
  </sheetData>
  <mergeCells count="117">
    <mergeCell ref="D76:F76"/>
    <mergeCell ref="G76:H76"/>
    <mergeCell ref="D75:F75"/>
    <mergeCell ref="G75:H75"/>
    <mergeCell ref="A75:B81"/>
    <mergeCell ref="A100:H100"/>
    <mergeCell ref="C91:G91"/>
    <mergeCell ref="C92:G92"/>
    <mergeCell ref="C93:G93"/>
    <mergeCell ref="A94:H94"/>
    <mergeCell ref="A95:H98"/>
    <mergeCell ref="A99:H99"/>
    <mergeCell ref="A83:H83"/>
    <mergeCell ref="A84:B93"/>
    <mergeCell ref="C84:G84"/>
    <mergeCell ref="C85:G85"/>
    <mergeCell ref="C86:G86"/>
    <mergeCell ref="C87:G87"/>
    <mergeCell ref="C88:G88"/>
    <mergeCell ref="C89:G89"/>
    <mergeCell ref="C90:G90"/>
    <mergeCell ref="D80:F80"/>
    <mergeCell ref="G80:H80"/>
    <mergeCell ref="D81:F81"/>
    <mergeCell ref="G81:H81"/>
    <mergeCell ref="A82:B82"/>
    <mergeCell ref="D77:F77"/>
    <mergeCell ref="G77:H77"/>
    <mergeCell ref="D78:F78"/>
    <mergeCell ref="G78:H78"/>
    <mergeCell ref="D79:F79"/>
    <mergeCell ref="G79:H79"/>
    <mergeCell ref="C82:F82"/>
    <mergeCell ref="G82:H82"/>
    <mergeCell ref="A66:H66"/>
    <mergeCell ref="A67:H67"/>
    <mergeCell ref="A68:B68"/>
    <mergeCell ref="C68:F68"/>
    <mergeCell ref="G68:H68"/>
    <mergeCell ref="A69:B69"/>
    <mergeCell ref="C69:F69"/>
    <mergeCell ref="G69:H69"/>
    <mergeCell ref="D72:F72"/>
    <mergeCell ref="A70:B74"/>
    <mergeCell ref="D70:F70"/>
    <mergeCell ref="G70:H73"/>
    <mergeCell ref="D71:F71"/>
    <mergeCell ref="C73:C74"/>
    <mergeCell ref="D73:F74"/>
    <mergeCell ref="G74:H74"/>
    <mergeCell ref="A58:F60"/>
    <mergeCell ref="A61:B64"/>
    <mergeCell ref="C61:F64"/>
    <mergeCell ref="A65:H65"/>
    <mergeCell ref="C50:F50"/>
    <mergeCell ref="C51:F51"/>
    <mergeCell ref="C53:F53"/>
    <mergeCell ref="A54:H54"/>
    <mergeCell ref="C52:F52"/>
    <mergeCell ref="C46:F46"/>
    <mergeCell ref="A47:H47"/>
    <mergeCell ref="A48:H48"/>
    <mergeCell ref="C49:F49"/>
    <mergeCell ref="C43:F43"/>
    <mergeCell ref="C44:F44"/>
    <mergeCell ref="A45:H45"/>
    <mergeCell ref="A55:H55"/>
    <mergeCell ref="A56:H57"/>
    <mergeCell ref="A36:H36"/>
    <mergeCell ref="C37:F37"/>
    <mergeCell ref="A40:H40"/>
    <mergeCell ref="A41:H41"/>
    <mergeCell ref="C42:F42"/>
    <mergeCell ref="C38:F38"/>
    <mergeCell ref="C39:F39"/>
    <mergeCell ref="C29:F29"/>
    <mergeCell ref="A30:H30"/>
    <mergeCell ref="C24:F24"/>
    <mergeCell ref="A25:H25"/>
    <mergeCell ref="A26:H26"/>
    <mergeCell ref="C27:F27"/>
    <mergeCell ref="C28:F28"/>
    <mergeCell ref="C23:F23"/>
    <mergeCell ref="A31:H31"/>
    <mergeCell ref="C32:F32"/>
    <mergeCell ref="C33:F33"/>
    <mergeCell ref="C34:F34"/>
    <mergeCell ref="A35:H35"/>
    <mergeCell ref="A1:B1"/>
    <mergeCell ref="C1:F1"/>
    <mergeCell ref="G1:H1"/>
    <mergeCell ref="C2:F2"/>
    <mergeCell ref="A3:B3"/>
    <mergeCell ref="C3:H3"/>
    <mergeCell ref="A5:B5"/>
    <mergeCell ref="C5:H5"/>
    <mergeCell ref="A8:H8"/>
    <mergeCell ref="A4:B4"/>
    <mergeCell ref="C4:H4"/>
    <mergeCell ref="A6:B6"/>
    <mergeCell ref="C6:H6"/>
    <mergeCell ref="A7:B7"/>
    <mergeCell ref="C7:F7"/>
    <mergeCell ref="A9:H9"/>
    <mergeCell ref="C10:F10"/>
    <mergeCell ref="C11:F11"/>
    <mergeCell ref="C12:F12"/>
    <mergeCell ref="C13:F13"/>
    <mergeCell ref="C20:F20"/>
    <mergeCell ref="C21:F21"/>
    <mergeCell ref="C22:F22"/>
    <mergeCell ref="C14:F14"/>
    <mergeCell ref="A15:F15"/>
    <mergeCell ref="C16:F16"/>
    <mergeCell ref="C17:H17"/>
    <mergeCell ref="A18:H18"/>
    <mergeCell ref="A19:H19"/>
  </mergeCells>
  <hyperlinks>
    <hyperlink ref="H7" r:id="rId1" xr:uid="{A5DEB296-2F70-409B-AB46-4029B7789EA1}"/>
  </hyperlinks>
  <printOptions horizontalCentered="1"/>
  <pageMargins left="3.937007874015748E-2" right="3.937007874015748E-2" top="0.35433070866141736" bottom="0.35433070866141736" header="0.31496062992125984" footer="0.31496062992125984"/>
  <pageSetup scale="60" fitToHeight="0" orientation="portrait" r:id="rId2"/>
  <rowBreaks count="4" manualBreakCount="4">
    <brk id="46" max="7" man="1"/>
    <brk id="57" max="7" man="1"/>
    <brk id="82" max="7" man="1"/>
    <brk id="100"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B4E7-58BE-4DAB-9646-7C47D843A6D5}">
  <dimension ref="A1:R100"/>
  <sheetViews>
    <sheetView view="pageBreakPreview" zoomScale="85" zoomScaleNormal="80" zoomScaleSheetLayoutView="85" workbookViewId="0">
      <selection activeCell="C61" sqref="C61:F64"/>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1.8554687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112</v>
      </c>
    </row>
    <row r="3" spans="1:18" ht="25.15" customHeight="1">
      <c r="A3" s="93" t="s">
        <v>3</v>
      </c>
      <c r="B3" s="93"/>
      <c r="C3" s="94" t="s">
        <v>4</v>
      </c>
      <c r="D3" s="94"/>
      <c r="E3" s="94"/>
      <c r="F3" s="94"/>
      <c r="G3" s="94"/>
      <c r="H3" s="94"/>
    </row>
    <row r="4" spans="1:18" ht="48" customHeight="1">
      <c r="A4" s="93" t="s">
        <v>5</v>
      </c>
      <c r="B4" s="93"/>
      <c r="C4" s="97" t="s">
        <v>113</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105</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220</v>
      </c>
    </row>
    <row r="11" spans="1:18" s="2" customFormat="1" ht="21.95" customHeight="1">
      <c r="A11" s="14">
        <f>N11</f>
        <v>466.30500000000001</v>
      </c>
      <c r="B11" s="15" t="s">
        <v>18</v>
      </c>
      <c r="C11" s="76" t="s">
        <v>19</v>
      </c>
      <c r="D11" s="76"/>
      <c r="E11" s="76"/>
      <c r="F11" s="76"/>
      <c r="G11" s="16">
        <f>R10</f>
        <v>220</v>
      </c>
      <c r="H11" s="17">
        <f>G11*A11</f>
        <v>102587.1</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220</v>
      </c>
      <c r="H12" s="17">
        <f>A12*G12</f>
        <v>30321.059999999994</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220</v>
      </c>
      <c r="H13" s="17">
        <f>A13*G13</f>
        <v>14601.510000000002</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150029.67000000001</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106</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220</v>
      </c>
      <c r="H21" s="17">
        <f t="shared" ref="H21:H23" si="1">G21*A21</f>
        <v>0</v>
      </c>
      <c r="I21" s="48"/>
      <c r="J21" s="56">
        <v>12</v>
      </c>
      <c r="K21" s="57">
        <v>0.1</v>
      </c>
      <c r="L21" s="56">
        <f t="shared" ref="L21:L23" si="2">J21*K21</f>
        <v>1.2000000000000002</v>
      </c>
      <c r="N21" s="56">
        <f t="shared" ref="N21:N23" si="3">J21+L21</f>
        <v>13.2</v>
      </c>
    </row>
    <row r="22" spans="1:14" s="56" customFormat="1" ht="21.6" customHeight="1">
      <c r="A22" s="53">
        <f>N22</f>
        <v>34.271999999999998</v>
      </c>
      <c r="B22" s="54" t="s">
        <v>18</v>
      </c>
      <c r="C22" s="80" t="s">
        <v>29</v>
      </c>
      <c r="D22" s="80"/>
      <c r="E22" s="80"/>
      <c r="F22" s="80"/>
      <c r="G22" s="55">
        <f>R10</f>
        <v>220</v>
      </c>
      <c r="H22" s="17">
        <f t="shared" si="1"/>
        <v>7539.8399999999992</v>
      </c>
      <c r="I22" s="48"/>
      <c r="J22" s="2">
        <v>32.64</v>
      </c>
      <c r="K22" s="57">
        <v>0.05</v>
      </c>
      <c r="L22" s="56">
        <f t="shared" si="2"/>
        <v>1.6320000000000001</v>
      </c>
      <c r="N22" s="56">
        <f t="shared" si="3"/>
        <v>34.271999999999998</v>
      </c>
    </row>
    <row r="23" spans="1:14" s="56" customFormat="1" ht="21.6" customHeight="1">
      <c r="A23" s="65">
        <f t="shared" ref="A23" si="4">N23</f>
        <v>11.55</v>
      </c>
      <c r="B23" s="54" t="s">
        <v>18</v>
      </c>
      <c r="C23" s="106" t="s">
        <v>30</v>
      </c>
      <c r="D23" s="106"/>
      <c r="E23" s="106"/>
      <c r="F23" s="106"/>
      <c r="G23" s="66">
        <f>R10</f>
        <v>220</v>
      </c>
      <c r="H23" s="17">
        <f t="shared" si="1"/>
        <v>2541</v>
      </c>
      <c r="I23" s="48"/>
      <c r="J23" s="2">
        <v>10.5</v>
      </c>
      <c r="K23" s="57">
        <v>0.1</v>
      </c>
      <c r="L23" s="56">
        <f t="shared" si="2"/>
        <v>1.05</v>
      </c>
      <c r="N23" s="56">
        <f t="shared" si="3"/>
        <v>11.55</v>
      </c>
    </row>
    <row r="24" spans="1:14" s="58" customFormat="1" ht="15.75">
      <c r="A24" s="19">
        <f>A22+A23</f>
        <v>45.822000000000003</v>
      </c>
      <c r="B24" s="20" t="s">
        <v>25</v>
      </c>
      <c r="C24" s="83"/>
      <c r="D24" s="83"/>
      <c r="E24" s="83"/>
      <c r="F24" s="83"/>
      <c r="G24" s="20" t="s">
        <v>26</v>
      </c>
      <c r="H24" s="22">
        <f>H22+H23</f>
        <v>10080.84</v>
      </c>
      <c r="I24" s="48"/>
      <c r="J24" s="56">
        <f>SUM(J21:J23)</f>
        <v>55.14</v>
      </c>
      <c r="K24" s="57"/>
      <c r="L24" s="56"/>
      <c r="M24" s="56"/>
      <c r="N24" s="56"/>
    </row>
    <row r="25" spans="1:14" s="48" customFormat="1">
      <c r="A25" s="100"/>
      <c r="B25" s="101"/>
      <c r="C25" s="101"/>
      <c r="D25" s="101"/>
      <c r="E25" s="101"/>
      <c r="F25" s="101"/>
      <c r="G25" s="101"/>
      <c r="H25" s="102"/>
    </row>
    <row r="26" spans="1:14" s="48" customFormat="1" ht="18">
      <c r="A26" s="74" t="s">
        <v>107</v>
      </c>
      <c r="B26" s="74"/>
      <c r="C26" s="74"/>
      <c r="D26" s="74"/>
      <c r="E26" s="74"/>
      <c r="F26" s="74"/>
      <c r="G26" s="74"/>
      <c r="H26" s="74"/>
      <c r="J26" s="56" t="e">
        <f>#REF!+J23</f>
        <v>#REF!</v>
      </c>
      <c r="K26" s="57"/>
      <c r="L26" s="56"/>
      <c r="N26" s="56"/>
    </row>
    <row r="27" spans="1:14" s="52" customFormat="1" ht="15">
      <c r="A27" s="73" t="s">
        <v>10</v>
      </c>
      <c r="B27" s="50" t="s">
        <v>11</v>
      </c>
      <c r="C27" s="75" t="s">
        <v>12</v>
      </c>
      <c r="D27" s="75"/>
      <c r="E27" s="75"/>
      <c r="F27" s="75"/>
      <c r="G27" s="51" t="s">
        <v>13</v>
      </c>
      <c r="H27" s="51" t="s">
        <v>9</v>
      </c>
      <c r="I27" s="48"/>
      <c r="J27" s="56"/>
      <c r="K27" s="57"/>
      <c r="L27" s="56"/>
      <c r="N27" s="56"/>
    </row>
    <row r="28" spans="1:14" s="56" customFormat="1" ht="36.6" customHeight="1">
      <c r="A28" s="67">
        <f>N28</f>
        <v>28.561</v>
      </c>
      <c r="B28" s="59" t="s">
        <v>18</v>
      </c>
      <c r="C28" s="103" t="s">
        <v>31</v>
      </c>
      <c r="D28" s="104"/>
      <c r="E28" s="104"/>
      <c r="F28" s="105"/>
      <c r="G28" s="55">
        <f>R10</f>
        <v>220</v>
      </c>
      <c r="H28" s="17">
        <f>G28*A28</f>
        <v>6283.42</v>
      </c>
      <c r="I28" s="48"/>
      <c r="J28" s="56">
        <v>21.97</v>
      </c>
      <c r="K28" s="57">
        <v>0.3</v>
      </c>
      <c r="L28" s="56">
        <f t="shared" ref="L28" si="5">J28*K28</f>
        <v>6.5909999999999993</v>
      </c>
      <c r="N28" s="56">
        <f t="shared" ref="N28" si="6">J28+L28</f>
        <v>28.561</v>
      </c>
    </row>
    <row r="29" spans="1:14" s="58" customFormat="1" ht="15.75">
      <c r="A29" s="19">
        <f>A28</f>
        <v>28.561</v>
      </c>
      <c r="B29" s="20" t="s">
        <v>25</v>
      </c>
      <c r="C29" s="83"/>
      <c r="D29" s="83"/>
      <c r="E29" s="83"/>
      <c r="F29" s="83"/>
      <c r="G29" s="20" t="s">
        <v>26</v>
      </c>
      <c r="H29" s="21">
        <f>H28</f>
        <v>6283.42</v>
      </c>
      <c r="I29" s="48"/>
      <c r="J29" s="56">
        <f>SUM(J28:J28)</f>
        <v>21.97</v>
      </c>
      <c r="K29" s="57"/>
      <c r="L29" s="56"/>
      <c r="M29" s="56"/>
      <c r="N29" s="56"/>
    </row>
    <row r="30" spans="1:14" s="48" customFormat="1">
      <c r="A30" s="100"/>
      <c r="B30" s="101"/>
      <c r="C30" s="101"/>
      <c r="D30" s="101"/>
      <c r="E30" s="101"/>
      <c r="F30" s="101"/>
      <c r="G30" s="101"/>
      <c r="H30" s="102"/>
    </row>
    <row r="31" spans="1:14" s="48" customFormat="1" ht="18">
      <c r="A31" s="74" t="s">
        <v>108</v>
      </c>
      <c r="B31" s="74"/>
      <c r="C31" s="74"/>
      <c r="D31" s="74"/>
      <c r="E31" s="74"/>
      <c r="F31" s="74"/>
      <c r="G31" s="74"/>
      <c r="H31" s="74"/>
      <c r="J31" s="56"/>
      <c r="K31" s="57"/>
      <c r="L31" s="56"/>
      <c r="N31" s="56"/>
    </row>
    <row r="32" spans="1:14" s="52" customFormat="1" ht="15">
      <c r="A32" s="73" t="s">
        <v>10</v>
      </c>
      <c r="B32" s="50" t="s">
        <v>11</v>
      </c>
      <c r="C32" s="75" t="s">
        <v>12</v>
      </c>
      <c r="D32" s="75"/>
      <c r="E32" s="75"/>
      <c r="F32" s="75"/>
      <c r="G32" s="51" t="s">
        <v>13</v>
      </c>
      <c r="H32" s="51" t="s">
        <v>9</v>
      </c>
      <c r="I32" s="48"/>
      <c r="J32" s="56"/>
      <c r="K32" s="57"/>
      <c r="L32" s="56"/>
      <c r="N32" s="56"/>
    </row>
    <row r="33" spans="1:15" s="56" customFormat="1" ht="22.5" customHeight="1">
      <c r="A33" s="53">
        <f>N33</f>
        <v>50.4</v>
      </c>
      <c r="B33" s="54" t="s">
        <v>18</v>
      </c>
      <c r="C33" s="76" t="s">
        <v>32</v>
      </c>
      <c r="D33" s="76"/>
      <c r="E33" s="76"/>
      <c r="F33" s="76"/>
      <c r="G33" s="55">
        <f>R10</f>
        <v>220</v>
      </c>
      <c r="H33" s="17">
        <f>G33*A33</f>
        <v>11088</v>
      </c>
      <c r="I33" s="48"/>
      <c r="J33" s="56">
        <v>48</v>
      </c>
      <c r="K33" s="57">
        <v>0.05</v>
      </c>
      <c r="L33" s="56">
        <f t="shared" ref="L33" si="7">J33*K33</f>
        <v>2.4000000000000004</v>
      </c>
      <c r="N33" s="56">
        <f t="shared" ref="N33" si="8">J33+L33</f>
        <v>50.4</v>
      </c>
    </row>
    <row r="34" spans="1:15" s="58" customFormat="1" ht="15.75">
      <c r="A34" s="19">
        <f>SUM(A33:A33)</f>
        <v>50.4</v>
      </c>
      <c r="B34" s="20" t="s">
        <v>25</v>
      </c>
      <c r="C34" s="83"/>
      <c r="D34" s="83"/>
      <c r="E34" s="83"/>
      <c r="F34" s="83"/>
      <c r="G34" s="20"/>
      <c r="H34" s="22">
        <f>H33</f>
        <v>11088</v>
      </c>
      <c r="I34" s="48"/>
      <c r="J34" s="56"/>
      <c r="K34" s="57"/>
      <c r="L34" s="56"/>
      <c r="M34" s="56"/>
      <c r="N34" s="56"/>
    </row>
    <row r="35" spans="1:15" s="48" customFormat="1">
      <c r="A35" s="100"/>
      <c r="B35" s="101"/>
      <c r="C35" s="101"/>
      <c r="D35" s="101"/>
      <c r="E35" s="101"/>
      <c r="F35" s="101"/>
      <c r="G35" s="101"/>
      <c r="H35" s="102"/>
    </row>
    <row r="36" spans="1:15" s="48" customFormat="1" ht="18">
      <c r="A36" s="74" t="s">
        <v>109</v>
      </c>
      <c r="B36" s="74"/>
      <c r="C36" s="74"/>
      <c r="D36" s="74"/>
      <c r="E36" s="74"/>
      <c r="F36" s="74"/>
      <c r="G36" s="74"/>
      <c r="H36" s="74"/>
      <c r="J36" s="56"/>
      <c r="K36" s="57"/>
      <c r="L36" s="56"/>
      <c r="N36" s="56"/>
    </row>
    <row r="37" spans="1:15" s="52" customFormat="1" ht="15">
      <c r="A37" s="73" t="s">
        <v>10</v>
      </c>
      <c r="B37" s="50" t="s">
        <v>11</v>
      </c>
      <c r="C37" s="75" t="s">
        <v>12</v>
      </c>
      <c r="D37" s="75"/>
      <c r="E37" s="75"/>
      <c r="F37" s="75"/>
      <c r="G37" s="51" t="s">
        <v>13</v>
      </c>
      <c r="H37" s="51" t="s">
        <v>9</v>
      </c>
      <c r="I37" s="48"/>
      <c r="J37" s="56"/>
      <c r="K37" s="57"/>
      <c r="L37" s="56"/>
      <c r="N37" s="56"/>
    </row>
    <row r="38" spans="1:15" s="2" customFormat="1" ht="30.75" customHeight="1">
      <c r="A38" s="68">
        <f>N38</f>
        <v>43.05</v>
      </c>
      <c r="B38" s="15" t="s">
        <v>18</v>
      </c>
      <c r="C38" s="76" t="s">
        <v>135</v>
      </c>
      <c r="D38" s="76"/>
      <c r="E38" s="76"/>
      <c r="F38" s="76"/>
      <c r="G38" s="16">
        <f>R10</f>
        <v>220</v>
      </c>
      <c r="H38" s="17">
        <f>G38*A38</f>
        <v>9471</v>
      </c>
      <c r="I38" s="1"/>
      <c r="J38" s="2">
        <v>41</v>
      </c>
      <c r="K38" s="40">
        <v>0.05</v>
      </c>
      <c r="L38" s="2">
        <f t="shared" ref="L38" si="9">J38*K38</f>
        <v>2.0500000000000003</v>
      </c>
      <c r="N38" s="2">
        <f t="shared" ref="N38" si="10">J38+L38</f>
        <v>43.05</v>
      </c>
    </row>
    <row r="39" spans="1:15" s="58" customFormat="1" ht="15.75">
      <c r="A39" s="19">
        <f>SUM(A38:A38)</f>
        <v>43.05</v>
      </c>
      <c r="B39" s="20" t="s">
        <v>25</v>
      </c>
      <c r="C39" s="83"/>
      <c r="D39" s="83"/>
      <c r="E39" s="83"/>
      <c r="F39" s="83"/>
      <c r="G39" s="20" t="s">
        <v>26</v>
      </c>
      <c r="H39" s="22">
        <f>H38</f>
        <v>9471</v>
      </c>
      <c r="I39" s="48"/>
      <c r="J39" s="56" t="e">
        <f>J38+#REF!+#REF!+#REF!+J28+J23+#REF!+J22+J21+J13+J12+J11</f>
        <v>#REF!</v>
      </c>
      <c r="K39" s="57"/>
      <c r="L39" s="56"/>
      <c r="M39" s="56"/>
      <c r="N39" s="56"/>
    </row>
    <row r="40" spans="1:15" s="48" customFormat="1" ht="15.75" customHeight="1">
      <c r="A40" s="100"/>
      <c r="B40" s="101"/>
      <c r="C40" s="101"/>
      <c r="D40" s="101"/>
      <c r="E40" s="101"/>
      <c r="F40" s="101"/>
      <c r="G40" s="101"/>
      <c r="H40" s="102"/>
    </row>
    <row r="41" spans="1:15" s="48" customFormat="1" ht="18" hidden="1">
      <c r="A41" s="74" t="s">
        <v>33</v>
      </c>
      <c r="B41" s="74"/>
      <c r="C41" s="74"/>
      <c r="D41" s="74"/>
      <c r="E41" s="74"/>
      <c r="F41" s="74"/>
      <c r="G41" s="74"/>
      <c r="H41" s="74"/>
      <c r="J41" s="56"/>
      <c r="K41" s="57"/>
      <c r="L41" s="56">
        <v>90</v>
      </c>
      <c r="M41" s="48">
        <f>A38/L41</f>
        <v>0.47833333333333328</v>
      </c>
      <c r="N41" s="56">
        <v>30</v>
      </c>
      <c r="O41" s="48">
        <f>N41*M41</f>
        <v>14.349999999999998</v>
      </c>
    </row>
    <row r="42" spans="1:15" s="52" customFormat="1" ht="15" hidden="1">
      <c r="A42" s="73" t="s">
        <v>10</v>
      </c>
      <c r="B42" s="50" t="s">
        <v>11</v>
      </c>
      <c r="C42" s="75" t="s">
        <v>12</v>
      </c>
      <c r="D42" s="75"/>
      <c r="E42" s="75"/>
      <c r="F42" s="75"/>
      <c r="G42" s="51" t="s">
        <v>13</v>
      </c>
      <c r="H42" s="51" t="s">
        <v>9</v>
      </c>
      <c r="I42" s="48"/>
      <c r="J42" s="56"/>
      <c r="K42" s="57"/>
      <c r="L42" s="56"/>
      <c r="N42" s="56"/>
    </row>
    <row r="43" spans="1:15" s="2" customFormat="1" ht="22.5" hidden="1" customHeight="1">
      <c r="A43" s="68">
        <v>0</v>
      </c>
      <c r="B43" s="15" t="s">
        <v>18</v>
      </c>
      <c r="C43" s="76" t="s">
        <v>34</v>
      </c>
      <c r="D43" s="76"/>
      <c r="E43" s="76"/>
      <c r="F43" s="76"/>
      <c r="G43" s="16">
        <f>G38</f>
        <v>220</v>
      </c>
      <c r="H43" s="17">
        <f>G43*A43</f>
        <v>0</v>
      </c>
      <c r="I43" s="1"/>
      <c r="J43" s="2">
        <v>25.55</v>
      </c>
      <c r="K43" s="40">
        <v>0.05</v>
      </c>
      <c r="L43" s="2">
        <f t="shared" ref="L43" si="11">J43*K43</f>
        <v>1.2775000000000001</v>
      </c>
      <c r="N43" s="2">
        <f t="shared" ref="N43" si="12">J43+L43</f>
        <v>26.827500000000001</v>
      </c>
    </row>
    <row r="44" spans="1:15" s="58" customFormat="1" ht="15.75" hidden="1">
      <c r="A44" s="19">
        <f>SUM(A43:A43)</f>
        <v>0</v>
      </c>
      <c r="B44" s="20" t="s">
        <v>25</v>
      </c>
      <c r="C44" s="83"/>
      <c r="D44" s="83"/>
      <c r="E44" s="83"/>
      <c r="F44" s="83"/>
      <c r="G44" s="20" t="s">
        <v>26</v>
      </c>
      <c r="H44" s="22">
        <f>H43</f>
        <v>0</v>
      </c>
      <c r="I44" s="48"/>
      <c r="J44" s="56" t="e">
        <f>J43+#REF!+J38+#REF!+#REF!+J27+#REF!+J25+J24+J17+J16+J15</f>
        <v>#REF!</v>
      </c>
      <c r="K44" s="57"/>
      <c r="L44" s="56"/>
      <c r="M44" s="56"/>
      <c r="N44" s="56"/>
    </row>
    <row r="45" spans="1:15" s="48" customFormat="1" ht="15.75" hidden="1" customHeight="1">
      <c r="A45" s="100"/>
      <c r="B45" s="101"/>
      <c r="C45" s="101"/>
      <c r="D45" s="101"/>
      <c r="E45" s="101"/>
      <c r="F45" s="101"/>
      <c r="G45" s="101"/>
      <c r="H45" s="102"/>
    </row>
    <row r="46" spans="1:15" s="48" customFormat="1" ht="21.75" customHeight="1">
      <c r="A46" s="60">
        <f>A39+A34+A29+A24+A16</f>
        <v>838.33149999999989</v>
      </c>
      <c r="B46" s="71" t="s">
        <v>25</v>
      </c>
      <c r="C46" s="107" t="s">
        <v>35</v>
      </c>
      <c r="D46" s="107"/>
      <c r="E46" s="107"/>
      <c r="F46" s="107"/>
      <c r="G46" s="71" t="s">
        <v>26</v>
      </c>
      <c r="H46" s="61">
        <f>H39+H34+H29+H24+H16</f>
        <v>186952.93</v>
      </c>
      <c r="K46" s="62"/>
    </row>
    <row r="47" spans="1:15" s="48" customFormat="1" ht="21.75" customHeight="1">
      <c r="A47" s="108"/>
      <c r="B47" s="108"/>
      <c r="C47" s="108"/>
      <c r="D47" s="108"/>
      <c r="E47" s="108"/>
      <c r="F47" s="108"/>
      <c r="G47" s="108"/>
      <c r="H47" s="108"/>
    </row>
    <row r="48" spans="1:15" s="1" customFormat="1" ht="18">
      <c r="A48" s="109" t="s">
        <v>36</v>
      </c>
      <c r="B48" s="109"/>
      <c r="C48" s="109"/>
      <c r="D48" s="109"/>
      <c r="E48" s="109"/>
      <c r="F48" s="109"/>
      <c r="G48" s="109"/>
      <c r="H48" s="109"/>
    </row>
    <row r="49" spans="1:15" s="1" customFormat="1" ht="15">
      <c r="A49" s="72" t="s">
        <v>10</v>
      </c>
      <c r="B49" s="12" t="s">
        <v>11</v>
      </c>
      <c r="C49" s="110" t="s">
        <v>37</v>
      </c>
      <c r="D49" s="110"/>
      <c r="E49" s="110"/>
      <c r="F49" s="110"/>
      <c r="G49" s="13" t="s">
        <v>13</v>
      </c>
      <c r="H49" s="13" t="s">
        <v>9</v>
      </c>
      <c r="J49" s="1">
        <v>1700</v>
      </c>
      <c r="K49" s="1">
        <f>J49/A51</f>
        <v>22.666666666666668</v>
      </c>
    </row>
    <row r="50" spans="1:15" s="1" customFormat="1" ht="53.1" customHeight="1">
      <c r="A50" s="23">
        <v>110</v>
      </c>
      <c r="B50" s="23" t="s">
        <v>22</v>
      </c>
      <c r="C50" s="128" t="s">
        <v>38</v>
      </c>
      <c r="D50" s="129"/>
      <c r="E50" s="129"/>
      <c r="F50" s="130"/>
      <c r="G50" s="24">
        <v>360</v>
      </c>
      <c r="H50" s="25">
        <f>A50*G50</f>
        <v>39600</v>
      </c>
    </row>
    <row r="51" spans="1:15" s="1" customFormat="1" ht="38.450000000000003" customHeight="1">
      <c r="A51" s="23">
        <v>75</v>
      </c>
      <c r="B51" s="23" t="s">
        <v>22</v>
      </c>
      <c r="C51" s="131" t="s">
        <v>39</v>
      </c>
      <c r="D51" s="131"/>
      <c r="E51" s="131"/>
      <c r="F51" s="131"/>
      <c r="G51" s="24">
        <v>180</v>
      </c>
      <c r="H51" s="25">
        <f>A51*G51</f>
        <v>13500</v>
      </c>
      <c r="J51"/>
      <c r="L51"/>
    </row>
    <row r="52" spans="1:15" s="1" customFormat="1" ht="42.95" customHeight="1">
      <c r="A52" s="15">
        <v>1</v>
      </c>
      <c r="B52" s="15" t="s">
        <v>40</v>
      </c>
      <c r="C52" s="132" t="s">
        <v>41</v>
      </c>
      <c r="D52" s="133"/>
      <c r="E52" s="133"/>
      <c r="F52" s="133"/>
      <c r="G52" s="24">
        <v>9000</v>
      </c>
      <c r="H52" s="25">
        <f>A52*G52</f>
        <v>9000</v>
      </c>
      <c r="J52"/>
      <c r="L52"/>
    </row>
    <row r="53" spans="1:15" s="48" customFormat="1" ht="15.75">
      <c r="A53" s="71"/>
      <c r="B53" s="71" t="s">
        <v>17</v>
      </c>
      <c r="C53" s="107" t="s">
        <v>42</v>
      </c>
      <c r="D53" s="107"/>
      <c r="E53" s="107"/>
      <c r="F53" s="107"/>
      <c r="G53" s="27" t="s">
        <v>43</v>
      </c>
      <c r="H53" s="28">
        <f>H50+H51+H52</f>
        <v>62100</v>
      </c>
    </row>
    <row r="54" spans="1:15" s="48" customFormat="1">
      <c r="A54" s="108"/>
      <c r="B54" s="108"/>
      <c r="C54" s="108"/>
      <c r="D54" s="108"/>
      <c r="E54" s="108"/>
      <c r="F54" s="108"/>
      <c r="G54" s="108"/>
      <c r="H54" s="108"/>
      <c r="J54" s="48" t="e">
        <f>J39-J38-#REF!</f>
        <v>#REF!</v>
      </c>
    </row>
    <row r="55" spans="1:15" s="48" customFormat="1" ht="15" customHeight="1">
      <c r="A55" s="111" t="s">
        <v>44</v>
      </c>
      <c r="B55" s="111"/>
      <c r="C55" s="111"/>
      <c r="D55" s="111"/>
      <c r="E55" s="111"/>
      <c r="F55" s="111"/>
      <c r="G55" s="111"/>
      <c r="H55" s="111"/>
    </row>
    <row r="56" spans="1:15" s="48" customFormat="1" ht="388.5" customHeight="1">
      <c r="A56" s="112"/>
      <c r="B56" s="113"/>
      <c r="C56" s="113"/>
      <c r="D56" s="113"/>
      <c r="E56" s="113"/>
      <c r="F56" s="113"/>
      <c r="G56" s="113"/>
      <c r="H56" s="114"/>
      <c r="J56" s="63"/>
    </row>
    <row r="57" spans="1:15" s="48" customFormat="1" ht="41.25" customHeight="1">
      <c r="A57" s="115"/>
      <c r="B57" s="116"/>
      <c r="C57" s="116"/>
      <c r="D57" s="116"/>
      <c r="E57" s="116"/>
      <c r="F57" s="116"/>
      <c r="G57" s="116"/>
      <c r="H57" s="117"/>
    </row>
    <row r="58" spans="1:15" ht="28.15" customHeight="1">
      <c r="A58" s="118" t="s">
        <v>45</v>
      </c>
      <c r="B58" s="119"/>
      <c r="C58" s="119"/>
      <c r="D58" s="119"/>
      <c r="E58" s="119"/>
      <c r="F58" s="120"/>
      <c r="G58" s="29" t="s">
        <v>43</v>
      </c>
      <c r="H58" s="30">
        <f>H46+H53</f>
        <v>249052.93</v>
      </c>
      <c r="J58" s="41"/>
    </row>
    <row r="59" spans="1:15" ht="28.15" hidden="1" customHeight="1">
      <c r="A59" s="121"/>
      <c r="B59" s="122"/>
      <c r="C59" s="122"/>
      <c r="D59" s="122"/>
      <c r="E59" s="122"/>
      <c r="F59" s="123"/>
      <c r="G59" s="29" t="s">
        <v>46</v>
      </c>
      <c r="H59" s="30">
        <v>0</v>
      </c>
      <c r="J59" s="42"/>
    </row>
    <row r="60" spans="1:15" ht="23.25" customHeight="1">
      <c r="A60" s="124"/>
      <c r="B60" s="125"/>
      <c r="C60" s="125"/>
      <c r="D60" s="125"/>
      <c r="E60" s="125"/>
      <c r="F60" s="126"/>
      <c r="G60" s="31" t="s">
        <v>47</v>
      </c>
      <c r="H60" s="32">
        <f>H58-H59</f>
        <v>249052.93</v>
      </c>
      <c r="J60" s="42"/>
    </row>
    <row r="61" spans="1:15" ht="21.95" customHeight="1">
      <c r="A61" s="74" t="s">
        <v>48</v>
      </c>
      <c r="B61" s="74"/>
      <c r="C61" s="127" t="s">
        <v>115</v>
      </c>
      <c r="D61" s="127"/>
      <c r="E61" s="127"/>
      <c r="F61" s="127"/>
      <c r="G61" s="33" t="s">
        <v>49</v>
      </c>
      <c r="H61" s="34">
        <v>9000</v>
      </c>
      <c r="I61" s="4">
        <v>9</v>
      </c>
      <c r="J61" s="43"/>
    </row>
    <row r="62" spans="1:15" ht="21.95" customHeight="1">
      <c r="A62" s="74"/>
      <c r="B62" s="74"/>
      <c r="C62" s="127"/>
      <c r="D62" s="127"/>
      <c r="E62" s="127"/>
      <c r="F62" s="127"/>
      <c r="G62" s="31" t="s">
        <v>50</v>
      </c>
      <c r="H62" s="30">
        <f>H60+H61</f>
        <v>258052.93</v>
      </c>
      <c r="J62" s="42"/>
    </row>
    <row r="63" spans="1:15" ht="21.95" customHeight="1">
      <c r="A63" s="74"/>
      <c r="B63" s="74"/>
      <c r="C63" s="127"/>
      <c r="D63" s="127"/>
      <c r="E63" s="127"/>
      <c r="F63" s="127"/>
      <c r="G63" s="33" t="s">
        <v>51</v>
      </c>
      <c r="H63" s="34">
        <f>H62*0.16</f>
        <v>41288.468800000002</v>
      </c>
      <c r="J63" s="43">
        <v>19</v>
      </c>
      <c r="K63" s="4">
        <f>H58*J63</f>
        <v>4732005.67</v>
      </c>
      <c r="O63" s="44">
        <f>H64*4</f>
        <v>1197365.5951999999</v>
      </c>
    </row>
    <row r="64" spans="1:15" ht="21.95" customHeight="1">
      <c r="A64" s="74"/>
      <c r="B64" s="74"/>
      <c r="C64" s="127"/>
      <c r="D64" s="127"/>
      <c r="E64" s="127"/>
      <c r="F64" s="127"/>
      <c r="G64" s="35" t="s">
        <v>52</v>
      </c>
      <c r="H64" s="36">
        <f>H62+H63</f>
        <v>299341.39879999997</v>
      </c>
      <c r="I64" s="44">
        <f>H64/A46</f>
        <v>357.06805577507225</v>
      </c>
      <c r="J64" s="45"/>
    </row>
    <row r="65" spans="1:13">
      <c r="A65" s="88"/>
      <c r="B65" s="88"/>
      <c r="C65" s="88"/>
      <c r="D65" s="88"/>
      <c r="E65" s="88"/>
      <c r="F65" s="88"/>
      <c r="G65" s="88"/>
      <c r="H65" s="88"/>
    </row>
    <row r="66" spans="1:13" ht="31.15" customHeight="1">
      <c r="A66" s="74" t="s">
        <v>53</v>
      </c>
      <c r="B66" s="74"/>
      <c r="C66" s="74"/>
      <c r="D66" s="74"/>
      <c r="E66" s="74"/>
      <c r="F66" s="74"/>
      <c r="G66" s="74"/>
      <c r="H66" s="74"/>
      <c r="J66" s="44"/>
    </row>
    <row r="67" spans="1:13" ht="12" customHeight="1">
      <c r="A67" s="134"/>
      <c r="B67" s="134"/>
      <c r="C67" s="134"/>
      <c r="D67" s="134"/>
      <c r="E67" s="134"/>
      <c r="F67" s="134"/>
      <c r="G67" s="134"/>
      <c r="H67" s="134"/>
      <c r="K67" s="44">
        <f>H60*12</f>
        <v>2988635.16</v>
      </c>
    </row>
    <row r="68" spans="1:13" ht="30.75" customHeight="1" thickBot="1">
      <c r="A68" s="135" t="s">
        <v>54</v>
      </c>
      <c r="B68" s="135"/>
      <c r="C68" s="136" t="s">
        <v>55</v>
      </c>
      <c r="D68" s="136"/>
      <c r="E68" s="136"/>
      <c r="F68" s="136"/>
      <c r="G68" s="137" t="s">
        <v>56</v>
      </c>
      <c r="H68" s="137"/>
    </row>
    <row r="69" spans="1:13" ht="19.899999999999999" customHeight="1" thickBot="1">
      <c r="A69" s="138" t="s">
        <v>57</v>
      </c>
      <c r="B69" s="138"/>
      <c r="C69" s="136" t="s">
        <v>58</v>
      </c>
      <c r="D69" s="136"/>
      <c r="E69" s="136"/>
      <c r="F69" s="136"/>
      <c r="G69" s="139"/>
      <c r="H69" s="140"/>
      <c r="K69" s="64">
        <f>H64*3</f>
        <v>898024.1963999999</v>
      </c>
    </row>
    <row r="70" spans="1:13" ht="27.6" customHeight="1">
      <c r="A70" s="142" t="s">
        <v>59</v>
      </c>
      <c r="B70" s="143"/>
      <c r="C70" s="37" t="s">
        <v>60</v>
      </c>
      <c r="D70" s="148">
        <f>H64*0.6</f>
        <v>179604.83927999999</v>
      </c>
      <c r="E70" s="148"/>
      <c r="F70" s="148"/>
      <c r="G70" s="149"/>
      <c r="H70" s="150"/>
    </row>
    <row r="71" spans="1:13" ht="39" customHeight="1">
      <c r="A71" s="144"/>
      <c r="B71" s="145"/>
      <c r="C71" s="37" t="s">
        <v>98</v>
      </c>
      <c r="D71" s="141">
        <f>H64*0.3</f>
        <v>89802.419639999993</v>
      </c>
      <c r="E71" s="141"/>
      <c r="F71" s="141"/>
      <c r="G71" s="151"/>
      <c r="H71" s="152"/>
      <c r="J71" s="44">
        <f>H64-'[1]CTZ 8T (altura 270.7)'!H66</f>
        <v>61040.043412800005</v>
      </c>
    </row>
    <row r="72" spans="1:13" ht="39" customHeight="1">
      <c r="A72" s="144"/>
      <c r="B72" s="145"/>
      <c r="C72" s="37" t="s">
        <v>99</v>
      </c>
      <c r="D72" s="141">
        <f>H64*0.1</f>
        <v>29934.139879999999</v>
      </c>
      <c r="E72" s="141"/>
      <c r="F72" s="141"/>
      <c r="G72" s="151"/>
      <c r="H72" s="152"/>
      <c r="J72" s="44"/>
    </row>
    <row r="73" spans="1:13" ht="31.5" customHeight="1">
      <c r="A73" s="144"/>
      <c r="B73" s="145"/>
      <c r="C73" s="155" t="s">
        <v>61</v>
      </c>
      <c r="D73" s="157">
        <f>D70+D71+D72</f>
        <v>299341.39879999997</v>
      </c>
      <c r="E73" s="158"/>
      <c r="F73" s="159"/>
      <c r="G73" s="153"/>
      <c r="H73" s="154"/>
      <c r="J73" s="46"/>
      <c r="M73" s="46">
        <f>D70*8</f>
        <v>1436838.7142399999</v>
      </c>
    </row>
    <row r="74" spans="1:13" ht="5.45" hidden="1" customHeight="1">
      <c r="A74" s="146"/>
      <c r="B74" s="147"/>
      <c r="C74" s="156"/>
      <c r="D74" s="160"/>
      <c r="E74" s="161"/>
      <c r="F74" s="162"/>
      <c r="G74" s="163" t="s">
        <v>62</v>
      </c>
      <c r="H74" s="164"/>
    </row>
    <row r="75" spans="1:13" ht="24.95" customHeight="1">
      <c r="A75" s="172" t="s">
        <v>63</v>
      </c>
      <c r="B75" s="173"/>
      <c r="C75" s="38" t="s">
        <v>100</v>
      </c>
      <c r="D75" s="167"/>
      <c r="E75" s="168"/>
      <c r="F75" s="169"/>
      <c r="G75" s="165" t="s">
        <v>65</v>
      </c>
      <c r="H75" s="166"/>
      <c r="J75" s="38">
        <v>75</v>
      </c>
    </row>
    <row r="76" spans="1:13" ht="24.95" hidden="1" customHeight="1">
      <c r="A76" s="174"/>
      <c r="B76" s="175"/>
      <c r="C76" s="38" t="s">
        <v>66</v>
      </c>
      <c r="D76" s="167">
        <f>H64</f>
        <v>299341.39879999997</v>
      </c>
      <c r="E76" s="168"/>
      <c r="F76" s="169"/>
      <c r="G76" s="165" t="s">
        <v>65</v>
      </c>
      <c r="H76" s="166"/>
      <c r="J76" s="38">
        <v>120</v>
      </c>
      <c r="L76" s="46"/>
    </row>
    <row r="77" spans="1:13" ht="24.95" hidden="1" customHeight="1">
      <c r="A77" s="174"/>
      <c r="B77" s="175"/>
      <c r="C77" s="38" t="s">
        <v>64</v>
      </c>
      <c r="D77" s="167">
        <f>H64*3</f>
        <v>898024.1963999999</v>
      </c>
      <c r="E77" s="168"/>
      <c r="F77" s="169"/>
      <c r="G77" s="165" t="s">
        <v>67</v>
      </c>
      <c r="H77" s="166"/>
      <c r="J77" s="38">
        <f t="shared" ref="J77" si="13">J76+15</f>
        <v>135</v>
      </c>
      <c r="L77" s="46"/>
    </row>
    <row r="78" spans="1:13" ht="24.95" hidden="1" customHeight="1">
      <c r="A78" s="174"/>
      <c r="B78" s="175"/>
      <c r="C78" s="38" t="s">
        <v>68</v>
      </c>
      <c r="D78" s="167">
        <f>H64*3</f>
        <v>898024.1963999999</v>
      </c>
      <c r="E78" s="168"/>
      <c r="F78" s="169"/>
      <c r="G78" s="165" t="s">
        <v>69</v>
      </c>
      <c r="H78" s="166"/>
      <c r="J78" s="38">
        <f>J77+15</f>
        <v>150</v>
      </c>
    </row>
    <row r="79" spans="1:13" ht="24.95" hidden="1" customHeight="1">
      <c r="A79" s="174"/>
      <c r="B79" s="175"/>
      <c r="C79" s="38" t="s">
        <v>70</v>
      </c>
      <c r="D79" s="167">
        <f>H64*2</f>
        <v>598682.79759999993</v>
      </c>
      <c r="E79" s="168"/>
      <c r="F79" s="169"/>
      <c r="G79" s="165" t="s">
        <v>71</v>
      </c>
      <c r="H79" s="166"/>
      <c r="J79" s="47"/>
    </row>
    <row r="80" spans="1:13" ht="24.95" hidden="1" customHeight="1">
      <c r="A80" s="174"/>
      <c r="B80" s="175"/>
      <c r="C80" s="38" t="s">
        <v>72</v>
      </c>
      <c r="D80" s="167">
        <f>H64*2</f>
        <v>598682.79759999993</v>
      </c>
      <c r="E80" s="168"/>
      <c r="F80" s="169"/>
      <c r="G80" s="165" t="s">
        <v>71</v>
      </c>
      <c r="H80" s="166"/>
      <c r="J80" s="47"/>
    </row>
    <row r="81" spans="1:11" ht="24.95" hidden="1" customHeight="1">
      <c r="A81" s="176"/>
      <c r="B81" s="177"/>
      <c r="C81" s="38" t="s">
        <v>73</v>
      </c>
      <c r="D81" s="167">
        <f>H64*3</f>
        <v>898024.1963999999</v>
      </c>
      <c r="E81" s="168"/>
      <c r="F81" s="169"/>
      <c r="G81" s="165" t="s">
        <v>74</v>
      </c>
      <c r="H81" s="166"/>
      <c r="J81" s="47"/>
    </row>
    <row r="82" spans="1:11" ht="19.149999999999999" customHeight="1">
      <c r="A82" s="135" t="s">
        <v>75</v>
      </c>
      <c r="B82" s="135"/>
      <c r="C82" s="170" t="s">
        <v>76</v>
      </c>
      <c r="D82" s="170"/>
      <c r="E82" s="170"/>
      <c r="F82" s="170"/>
      <c r="G82" s="91"/>
      <c r="H82" s="171"/>
      <c r="J82" s="46">
        <f>SUM(D76:F78)</f>
        <v>2095389.7915999996</v>
      </c>
    </row>
    <row r="83" spans="1:11" ht="10.15" customHeight="1">
      <c r="A83" s="88"/>
      <c r="B83" s="88"/>
      <c r="C83" s="88"/>
      <c r="D83" s="88"/>
      <c r="E83" s="88"/>
      <c r="F83" s="88"/>
      <c r="G83" s="189"/>
      <c r="H83" s="189"/>
      <c r="J83" s="46"/>
      <c r="K83" s="46"/>
    </row>
    <row r="84" spans="1:11" ht="69.75" customHeight="1">
      <c r="A84" s="137" t="s">
        <v>77</v>
      </c>
      <c r="B84" s="137"/>
      <c r="C84" s="190" t="s">
        <v>114</v>
      </c>
      <c r="D84" s="190"/>
      <c r="E84" s="190"/>
      <c r="F84" s="190"/>
      <c r="G84" s="190"/>
      <c r="H84" s="39"/>
      <c r="J84" s="46"/>
    </row>
    <row r="85" spans="1:11" ht="27" customHeight="1">
      <c r="A85" s="137"/>
      <c r="B85" s="137"/>
      <c r="C85" s="190" t="s">
        <v>78</v>
      </c>
      <c r="D85" s="190"/>
      <c r="E85" s="190"/>
      <c r="F85" s="190"/>
      <c r="G85" s="190"/>
      <c r="H85" s="39"/>
    </row>
    <row r="86" spans="1:11" ht="67.150000000000006" customHeight="1">
      <c r="A86" s="137"/>
      <c r="B86" s="137"/>
      <c r="C86" s="190" t="s">
        <v>79</v>
      </c>
      <c r="D86" s="190"/>
      <c r="E86" s="190"/>
      <c r="F86" s="190"/>
      <c r="G86" s="190"/>
      <c r="H86" s="39"/>
    </row>
    <row r="87" spans="1:11" ht="54" customHeight="1">
      <c r="A87" s="137"/>
      <c r="B87" s="137"/>
      <c r="C87" s="190" t="s">
        <v>80</v>
      </c>
      <c r="D87" s="190"/>
      <c r="E87" s="190"/>
      <c r="F87" s="190"/>
      <c r="G87" s="190"/>
      <c r="H87" s="39"/>
    </row>
    <row r="88" spans="1:11" ht="150.75" hidden="1" customHeight="1">
      <c r="A88" s="137"/>
      <c r="B88" s="137"/>
      <c r="C88" s="181" t="s">
        <v>81</v>
      </c>
      <c r="D88" s="182"/>
      <c r="E88" s="182"/>
      <c r="F88" s="182"/>
      <c r="G88" s="183"/>
      <c r="H88" s="39"/>
    </row>
    <row r="89" spans="1:11" ht="30" customHeight="1">
      <c r="A89" s="137"/>
      <c r="B89" s="137"/>
      <c r="C89" s="190" t="s">
        <v>82</v>
      </c>
      <c r="D89" s="190"/>
      <c r="E89" s="190"/>
      <c r="F89" s="190"/>
      <c r="G89" s="190"/>
      <c r="H89" s="39"/>
    </row>
    <row r="90" spans="1:11" ht="51" customHeight="1">
      <c r="A90" s="137"/>
      <c r="B90" s="137"/>
      <c r="C90" s="190" t="s">
        <v>83</v>
      </c>
      <c r="D90" s="190"/>
      <c r="E90" s="190"/>
      <c r="F90" s="190"/>
      <c r="G90" s="190"/>
      <c r="H90" s="39"/>
    </row>
    <row r="91" spans="1:11" ht="64.5" hidden="1" customHeight="1">
      <c r="A91" s="137"/>
      <c r="B91" s="137"/>
      <c r="C91" s="181" t="s">
        <v>84</v>
      </c>
      <c r="D91" s="182"/>
      <c r="E91" s="182"/>
      <c r="F91" s="182"/>
      <c r="G91" s="183"/>
      <c r="H91" s="39"/>
    </row>
    <row r="92" spans="1:11" ht="103.5" customHeight="1">
      <c r="A92" s="137"/>
      <c r="B92" s="137"/>
      <c r="C92" s="184" t="s">
        <v>85</v>
      </c>
      <c r="D92" s="184"/>
      <c r="E92" s="184"/>
      <c r="F92" s="184"/>
      <c r="G92" s="184"/>
      <c r="H92" s="39"/>
    </row>
    <row r="93" spans="1:11" ht="24.95" customHeight="1">
      <c r="A93" s="137"/>
      <c r="B93" s="137"/>
      <c r="C93" s="184" t="s">
        <v>86</v>
      </c>
      <c r="D93" s="184"/>
      <c r="E93" s="184"/>
      <c r="F93" s="184"/>
      <c r="G93" s="184"/>
      <c r="H93" s="39"/>
    </row>
    <row r="94" spans="1:11" ht="7.9" customHeight="1">
      <c r="A94" s="185"/>
      <c r="B94" s="185"/>
      <c r="C94" s="185"/>
      <c r="D94" s="185"/>
      <c r="E94" s="185"/>
      <c r="F94" s="185"/>
      <c r="G94" s="185"/>
      <c r="H94" s="185"/>
    </row>
    <row r="95" spans="1:11" ht="30" customHeight="1">
      <c r="A95" s="185"/>
      <c r="B95" s="185"/>
      <c r="C95" s="185"/>
      <c r="D95" s="185"/>
      <c r="E95" s="185"/>
      <c r="F95" s="185"/>
      <c r="G95" s="185"/>
      <c r="H95" s="185"/>
    </row>
    <row r="96" spans="1:11" ht="30" customHeight="1">
      <c r="A96" s="185"/>
      <c r="B96" s="185"/>
      <c r="C96" s="185"/>
      <c r="D96" s="185"/>
      <c r="E96" s="185"/>
      <c r="F96" s="185"/>
      <c r="G96" s="185"/>
      <c r="H96" s="185"/>
    </row>
    <row r="97" spans="1:8" ht="24" customHeight="1">
      <c r="A97" s="185"/>
      <c r="B97" s="185"/>
      <c r="C97" s="185"/>
      <c r="D97" s="185"/>
      <c r="E97" s="185"/>
      <c r="F97" s="185"/>
      <c r="G97" s="185"/>
      <c r="H97" s="185"/>
    </row>
    <row r="98" spans="1:8" ht="43.9" customHeight="1">
      <c r="A98" s="185"/>
      <c r="B98" s="185"/>
      <c r="C98" s="185"/>
      <c r="D98" s="185"/>
      <c r="E98" s="185"/>
      <c r="F98" s="185"/>
      <c r="G98" s="185"/>
      <c r="H98" s="185"/>
    </row>
    <row r="99" spans="1:8" ht="18">
      <c r="A99" s="186" t="s">
        <v>87</v>
      </c>
      <c r="B99" s="187"/>
      <c r="C99" s="187"/>
      <c r="D99" s="187"/>
      <c r="E99" s="187"/>
      <c r="F99" s="187"/>
      <c r="G99" s="187"/>
      <c r="H99" s="188"/>
    </row>
    <row r="100" spans="1:8">
      <c r="A100" s="178" t="s">
        <v>88</v>
      </c>
      <c r="B100" s="179"/>
      <c r="C100" s="179"/>
      <c r="D100" s="179"/>
      <c r="E100" s="179"/>
      <c r="F100" s="179"/>
      <c r="G100" s="179"/>
      <c r="H100" s="180"/>
    </row>
  </sheetData>
  <mergeCells count="117">
    <mergeCell ref="A95:H98"/>
    <mergeCell ref="A99:H99"/>
    <mergeCell ref="A100:H100"/>
    <mergeCell ref="C89:G89"/>
    <mergeCell ref="C90:G90"/>
    <mergeCell ref="C91:G91"/>
    <mergeCell ref="C92:G92"/>
    <mergeCell ref="C93:G93"/>
    <mergeCell ref="A94:H94"/>
    <mergeCell ref="A82:B82"/>
    <mergeCell ref="C82:F82"/>
    <mergeCell ref="G82:H82"/>
    <mergeCell ref="A83:H83"/>
    <mergeCell ref="A84:B93"/>
    <mergeCell ref="C84:G84"/>
    <mergeCell ref="C85:G85"/>
    <mergeCell ref="C86:G86"/>
    <mergeCell ref="C87:G87"/>
    <mergeCell ref="C88:G88"/>
    <mergeCell ref="D79:F79"/>
    <mergeCell ref="G79:H79"/>
    <mergeCell ref="D80:F80"/>
    <mergeCell ref="G80:H80"/>
    <mergeCell ref="D81:F81"/>
    <mergeCell ref="G81:H81"/>
    <mergeCell ref="G74:H74"/>
    <mergeCell ref="A75:B81"/>
    <mergeCell ref="D75:F75"/>
    <mergeCell ref="G75:H75"/>
    <mergeCell ref="D76:F76"/>
    <mergeCell ref="G76:H76"/>
    <mergeCell ref="D77:F77"/>
    <mergeCell ref="G77:H77"/>
    <mergeCell ref="D78:F78"/>
    <mergeCell ref="G78:H78"/>
    <mergeCell ref="A69:B69"/>
    <mergeCell ref="C69:F69"/>
    <mergeCell ref="G69:H69"/>
    <mergeCell ref="A70:B74"/>
    <mergeCell ref="D70:F70"/>
    <mergeCell ref="G70:H73"/>
    <mergeCell ref="D71:F71"/>
    <mergeCell ref="D72:F72"/>
    <mergeCell ref="C73:C74"/>
    <mergeCell ref="D73:F74"/>
    <mergeCell ref="A65:H65"/>
    <mergeCell ref="A66:H66"/>
    <mergeCell ref="A67:H67"/>
    <mergeCell ref="A68:B68"/>
    <mergeCell ref="C68:F68"/>
    <mergeCell ref="G68:H68"/>
    <mergeCell ref="A54:H54"/>
    <mergeCell ref="A55:H55"/>
    <mergeCell ref="A56:H57"/>
    <mergeCell ref="A58:F60"/>
    <mergeCell ref="A61:B64"/>
    <mergeCell ref="C61:F64"/>
    <mergeCell ref="A48:H48"/>
    <mergeCell ref="C49:F49"/>
    <mergeCell ref="C50:F50"/>
    <mergeCell ref="C51:F51"/>
    <mergeCell ref="C52:F52"/>
    <mergeCell ref="C53:F53"/>
    <mergeCell ref="C42:F42"/>
    <mergeCell ref="C43:F43"/>
    <mergeCell ref="C44:F44"/>
    <mergeCell ref="A45:H45"/>
    <mergeCell ref="C46:F46"/>
    <mergeCell ref="A47:H47"/>
    <mergeCell ref="A36:H36"/>
    <mergeCell ref="C37:F37"/>
    <mergeCell ref="C38:F38"/>
    <mergeCell ref="C39:F39"/>
    <mergeCell ref="A40:H40"/>
    <mergeCell ref="A41:H41"/>
    <mergeCell ref="A30:H30"/>
    <mergeCell ref="A31:H31"/>
    <mergeCell ref="C32:F32"/>
    <mergeCell ref="C33:F33"/>
    <mergeCell ref="C34:F34"/>
    <mergeCell ref="A35:H35"/>
    <mergeCell ref="C24:F24"/>
    <mergeCell ref="A25:H25"/>
    <mergeCell ref="A26:H26"/>
    <mergeCell ref="C27:F27"/>
    <mergeCell ref="C28:F28"/>
    <mergeCell ref="C29:F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60A006F2-A845-4B52-9891-654B7F869202}"/>
  </hyperlinks>
  <printOptions horizontalCentered="1"/>
  <pageMargins left="3.937007874015748E-2" right="3.937007874015748E-2" top="0.35433070866141736" bottom="0.35433070866141736" header="0.31496062992125984" footer="0.31496062992125984"/>
  <pageSetup scale="60" fitToHeight="0" orientation="portrait" r:id="rId2"/>
  <rowBreaks count="4" manualBreakCount="4">
    <brk id="46" max="7" man="1"/>
    <brk id="57" max="7" man="1"/>
    <brk id="82" max="7" man="1"/>
    <brk id="100"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804E7-7361-42C3-89AF-4EF93A449384}">
  <dimension ref="A1:R186"/>
  <sheetViews>
    <sheetView view="pageBreakPreview" zoomScale="85" zoomScaleNormal="80" zoomScaleSheetLayoutView="85" workbookViewId="0">
      <selection activeCell="C161" sqref="A161:XFD164"/>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139</v>
      </c>
    </row>
    <row r="3" spans="1:18" ht="25.15" customHeight="1">
      <c r="A3" s="93" t="s">
        <v>3</v>
      </c>
      <c r="B3" s="93"/>
      <c r="C3" s="94" t="s">
        <v>4</v>
      </c>
      <c r="D3" s="94"/>
      <c r="E3" s="94"/>
      <c r="F3" s="94"/>
      <c r="G3" s="94"/>
      <c r="H3" s="94"/>
    </row>
    <row r="4" spans="1:18" ht="93.75" customHeight="1">
      <c r="A4" s="93" t="s">
        <v>5</v>
      </c>
      <c r="B4" s="93"/>
      <c r="C4" s="97" t="s">
        <v>140</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270</v>
      </c>
    </row>
    <row r="11" spans="1:18" s="2" customFormat="1" ht="21.95" customHeight="1">
      <c r="A11" s="14">
        <f>N11</f>
        <v>466.30500000000001</v>
      </c>
      <c r="B11" s="15" t="s">
        <v>18</v>
      </c>
      <c r="C11" s="76" t="s">
        <v>19</v>
      </c>
      <c r="D11" s="76"/>
      <c r="E11" s="76"/>
      <c r="F11" s="76"/>
      <c r="G11" s="16">
        <f>R10</f>
        <v>270</v>
      </c>
      <c r="H11" s="17">
        <f>G11*A11</f>
        <v>125902.35</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270</v>
      </c>
      <c r="H12" s="17">
        <f>A12*G12</f>
        <v>37212.209999999992</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270</v>
      </c>
      <c r="H13" s="17">
        <f>A13*G13</f>
        <v>17920.035000000003</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183554.595</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270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270</v>
      </c>
      <c r="H22" s="17">
        <f t="shared" si="1"/>
        <v>9253.4399999999987</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9253.4399999999987</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270</v>
      </c>
      <c r="H27" s="17">
        <f>G27*A27</f>
        <v>7711.47</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7711.47</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270</v>
      </c>
      <c r="H32" s="17">
        <f>G32*A32</f>
        <v>13608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13608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214127.505</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270</v>
      </c>
    </row>
    <row r="39" spans="1:18" s="2" customFormat="1" ht="21.95" customHeight="1">
      <c r="A39" s="14">
        <f>N39</f>
        <v>466.30500000000001</v>
      </c>
      <c r="B39" s="15" t="s">
        <v>18</v>
      </c>
      <c r="C39" s="76" t="s">
        <v>19</v>
      </c>
      <c r="D39" s="76"/>
      <c r="E39" s="76"/>
      <c r="F39" s="76"/>
      <c r="G39" s="16">
        <f>R38</f>
        <v>270</v>
      </c>
      <c r="H39" s="17">
        <f>G39*A39</f>
        <v>125902.35</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270</v>
      </c>
      <c r="H40" s="17">
        <f>A40*G40</f>
        <v>37212.209999999992</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270</v>
      </c>
      <c r="H41" s="17">
        <f>A41*G41</f>
        <v>17920.035000000003</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183554.595</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270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270</v>
      </c>
      <c r="H50" s="17">
        <f t="shared" si="9"/>
        <v>9253.4399999999987</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9253.4399999999987</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270</v>
      </c>
      <c r="H55" s="17">
        <f>G55*A55</f>
        <v>7711.47</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7711.47</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200519.505</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270</v>
      </c>
    </row>
    <row r="62" spans="1:18" s="2" customFormat="1" ht="21.95" customHeight="1">
      <c r="A62" s="14">
        <f>N62</f>
        <v>466.30500000000001</v>
      </c>
      <c r="B62" s="15" t="s">
        <v>18</v>
      </c>
      <c r="C62" s="76" t="s">
        <v>19</v>
      </c>
      <c r="D62" s="76"/>
      <c r="E62" s="76"/>
      <c r="F62" s="76"/>
      <c r="G62" s="16">
        <f>R61</f>
        <v>270</v>
      </c>
      <c r="H62" s="17">
        <f>G62*A62</f>
        <v>125902.35</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270</v>
      </c>
      <c r="H63" s="17">
        <f>A63*G63</f>
        <v>37212.209999999992</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270</v>
      </c>
      <c r="H64" s="17">
        <f>A64*G64</f>
        <v>17920.035000000003</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183554.595</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270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270</v>
      </c>
      <c r="H73" s="17">
        <f t="shared" si="15"/>
        <v>9253.4399999999987</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9253.4399999999987</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270</v>
      </c>
      <c r="H78" s="17">
        <f>G78*A78</f>
        <v>7711.47</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7711.47</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200519.505</v>
      </c>
      <c r="K81" s="62"/>
    </row>
    <row r="82" spans="1:18" s="48" customFormat="1">
      <c r="A82" s="100"/>
      <c r="B82" s="101"/>
      <c r="C82" s="101"/>
      <c r="D82" s="101"/>
      <c r="E82" s="101"/>
      <c r="F82" s="101"/>
      <c r="G82" s="101"/>
      <c r="H82" s="102"/>
    </row>
    <row r="83" spans="1:18" s="48" customFormat="1" ht="18">
      <c r="A83" s="74" t="s">
        <v>131</v>
      </c>
      <c r="B83" s="74"/>
      <c r="C83" s="74"/>
      <c r="D83" s="74"/>
      <c r="E83" s="74"/>
      <c r="F83" s="74"/>
      <c r="G83" s="74"/>
      <c r="H83" s="74"/>
      <c r="R83" s="48" t="s">
        <v>9</v>
      </c>
    </row>
    <row r="84" spans="1:18" s="52" customFormat="1" ht="15">
      <c r="A84" s="73" t="s">
        <v>10</v>
      </c>
      <c r="B84" s="50" t="s">
        <v>11</v>
      </c>
      <c r="C84" s="75" t="s">
        <v>12</v>
      </c>
      <c r="D84" s="75"/>
      <c r="E84" s="75"/>
      <c r="F84" s="75"/>
      <c r="G84" s="51" t="s">
        <v>13</v>
      </c>
      <c r="H84" s="51" t="s">
        <v>9</v>
      </c>
      <c r="J84" s="52" t="s">
        <v>14</v>
      </c>
      <c r="K84" s="52" t="s">
        <v>15</v>
      </c>
      <c r="L84" s="52" t="s">
        <v>16</v>
      </c>
      <c r="N84" s="52" t="s">
        <v>17</v>
      </c>
      <c r="R84" s="52">
        <v>270</v>
      </c>
    </row>
    <row r="85" spans="1:18" s="2" customFormat="1" ht="21.95" customHeight="1">
      <c r="A85" s="14">
        <f>N85</f>
        <v>466.30500000000001</v>
      </c>
      <c r="B85" s="15" t="s">
        <v>18</v>
      </c>
      <c r="C85" s="76" t="s">
        <v>19</v>
      </c>
      <c r="D85" s="76"/>
      <c r="E85" s="76"/>
      <c r="F85" s="76"/>
      <c r="G85" s="16">
        <f>R84</f>
        <v>270</v>
      </c>
      <c r="H85" s="17">
        <f>G85*A85</f>
        <v>125902.35</v>
      </c>
      <c r="J85" s="2">
        <v>444.1</v>
      </c>
      <c r="K85" s="40">
        <v>0.05</v>
      </c>
      <c r="L85" s="2">
        <f>J85*K85</f>
        <v>22.205000000000002</v>
      </c>
      <c r="N85" s="2">
        <f>J85+L85</f>
        <v>466.30500000000001</v>
      </c>
      <c r="O85" s="2">
        <v>2</v>
      </c>
      <c r="P85" s="2">
        <f>J85/O85</f>
        <v>222.05</v>
      </c>
    </row>
    <row r="86" spans="1:18" s="2" customFormat="1" ht="21.95" customHeight="1">
      <c r="A86" s="14">
        <f>N86</f>
        <v>137.82299999999998</v>
      </c>
      <c r="B86" s="15" t="s">
        <v>18</v>
      </c>
      <c r="C86" s="76" t="s">
        <v>20</v>
      </c>
      <c r="D86" s="76"/>
      <c r="E86" s="76"/>
      <c r="F86" s="76"/>
      <c r="G86" s="16">
        <f>R84</f>
        <v>270</v>
      </c>
      <c r="H86" s="17">
        <f>A86*G86</f>
        <v>37212.209999999992</v>
      </c>
      <c r="J86" s="2">
        <v>131.26</v>
      </c>
      <c r="K86" s="40">
        <v>0.05</v>
      </c>
      <c r="L86" s="2">
        <f>J86*K86</f>
        <v>6.5629999999999997</v>
      </c>
      <c r="N86" s="2">
        <f>J86+L86</f>
        <v>137.82299999999998</v>
      </c>
      <c r="O86" s="2">
        <v>2</v>
      </c>
      <c r="P86" s="2">
        <f t="shared" ref="P86:P87" si="20">J86/O86</f>
        <v>65.63</v>
      </c>
    </row>
    <row r="87" spans="1:18" s="2" customFormat="1" ht="21.95" customHeight="1">
      <c r="A87" s="14">
        <f>N87</f>
        <v>66.370500000000007</v>
      </c>
      <c r="B87" s="15" t="s">
        <v>18</v>
      </c>
      <c r="C87" s="76" t="s">
        <v>21</v>
      </c>
      <c r="D87" s="76"/>
      <c r="E87" s="76"/>
      <c r="F87" s="76"/>
      <c r="G87" s="16">
        <f>G86</f>
        <v>270</v>
      </c>
      <c r="H87" s="17">
        <f>A87*G87</f>
        <v>17920.035000000003</v>
      </c>
      <c r="J87" s="2">
        <v>63.21</v>
      </c>
      <c r="K87" s="40">
        <v>0.05</v>
      </c>
      <c r="L87" s="2">
        <f>J87*K87</f>
        <v>3.1605000000000003</v>
      </c>
      <c r="N87" s="2">
        <f>J87+L87</f>
        <v>66.370500000000007</v>
      </c>
      <c r="O87" s="2">
        <v>2</v>
      </c>
      <c r="P87" s="2">
        <f t="shared" si="20"/>
        <v>31.605</v>
      </c>
    </row>
    <row r="88" spans="1:18" s="2" customFormat="1" ht="45" customHeight="1">
      <c r="A88" s="81" t="s">
        <v>24</v>
      </c>
      <c r="B88" s="82"/>
      <c r="C88" s="82"/>
      <c r="D88" s="82"/>
      <c r="E88" s="82"/>
      <c r="F88" s="82"/>
      <c r="G88" s="18"/>
      <c r="H88" s="18"/>
      <c r="J88" s="2">
        <f>J85+J86+J87</f>
        <v>638.57000000000005</v>
      </c>
      <c r="K88" s="40"/>
      <c r="N88" s="2">
        <f>N85+N86</f>
        <v>604.12799999999993</v>
      </c>
    </row>
    <row r="89" spans="1:18" s="3" customFormat="1" ht="15.75">
      <c r="A89" s="19">
        <f>A85+A86+A87</f>
        <v>670.49849999999992</v>
      </c>
      <c r="B89" s="20" t="s">
        <v>25</v>
      </c>
      <c r="C89" s="83"/>
      <c r="D89" s="83"/>
      <c r="E89" s="83"/>
      <c r="F89" s="83"/>
      <c r="G89" s="20" t="s">
        <v>26</v>
      </c>
      <c r="H89" s="21">
        <f>H85+H86+H87</f>
        <v>181034.595</v>
      </c>
      <c r="K89" s="40"/>
      <c r="L89" s="2"/>
      <c r="N89" s="2"/>
    </row>
    <row r="90" spans="1:18" s="58" customFormat="1" ht="15.75">
      <c r="A90" s="86"/>
      <c r="B90" s="86"/>
      <c r="C90" s="86"/>
      <c r="D90" s="86"/>
      <c r="E90" s="86"/>
      <c r="F90" s="86"/>
      <c r="G90" s="86"/>
      <c r="H90" s="86"/>
      <c r="K90" s="57"/>
      <c r="L90" s="56"/>
      <c r="N90" s="56"/>
    </row>
    <row r="91" spans="1:18" s="48" customFormat="1" ht="29.25" customHeight="1">
      <c r="A91" s="87" t="s">
        <v>132</v>
      </c>
      <c r="B91" s="87"/>
      <c r="C91" s="87"/>
      <c r="D91" s="87"/>
      <c r="E91" s="87"/>
      <c r="F91" s="87"/>
      <c r="G91" s="87"/>
      <c r="H91" s="87"/>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56" customFormat="1" ht="21.6" hidden="1" customHeight="1">
      <c r="A93" s="53">
        <v>0</v>
      </c>
      <c r="B93" s="54" t="s">
        <v>18</v>
      </c>
      <c r="C93" s="77" t="s">
        <v>28</v>
      </c>
      <c r="D93" s="78"/>
      <c r="E93" s="78"/>
      <c r="F93" s="79"/>
      <c r="G93" s="55">
        <f>R84</f>
        <v>270</v>
      </c>
      <c r="H93" s="17">
        <f t="shared" ref="H93:H95" si="21">G93*A93</f>
        <v>0</v>
      </c>
      <c r="I93" s="48"/>
      <c r="J93" s="56">
        <v>12</v>
      </c>
      <c r="K93" s="57">
        <v>0.1</v>
      </c>
      <c r="L93" s="56">
        <f t="shared" ref="L93:L95" si="22">J93*K93</f>
        <v>1.2000000000000002</v>
      </c>
      <c r="N93" s="56">
        <f t="shared" ref="N93:N95" si="23">J93+L93</f>
        <v>13.2</v>
      </c>
    </row>
    <row r="94" spans="1:18" s="56" customFormat="1" ht="21.6" customHeight="1">
      <c r="A94" s="53">
        <f>N94</f>
        <v>34.271999999999998</v>
      </c>
      <c r="B94" s="54" t="s">
        <v>18</v>
      </c>
      <c r="C94" s="80" t="s">
        <v>133</v>
      </c>
      <c r="D94" s="80"/>
      <c r="E94" s="80"/>
      <c r="F94" s="80"/>
      <c r="G94" s="55">
        <f>R84</f>
        <v>270</v>
      </c>
      <c r="H94" s="17">
        <f t="shared" si="21"/>
        <v>9253.4399999999987</v>
      </c>
      <c r="I94" s="48"/>
      <c r="J94" s="2">
        <v>32.64</v>
      </c>
      <c r="K94" s="57">
        <v>0.05</v>
      </c>
      <c r="L94" s="56">
        <f t="shared" si="22"/>
        <v>1.6320000000000001</v>
      </c>
      <c r="N94" s="56">
        <f t="shared" si="23"/>
        <v>34.271999999999998</v>
      </c>
    </row>
    <row r="95" spans="1:18" s="56" customFormat="1" ht="21.6" customHeight="1">
      <c r="A95" s="65">
        <f t="shared" ref="A95" si="24">N95</f>
        <v>11.55</v>
      </c>
      <c r="B95" s="54" t="s">
        <v>18</v>
      </c>
      <c r="C95" s="106" t="s">
        <v>30</v>
      </c>
      <c r="D95" s="106"/>
      <c r="E95" s="106"/>
      <c r="F95" s="106"/>
      <c r="G95" s="66">
        <f>R84</f>
        <v>270</v>
      </c>
      <c r="H95" s="17">
        <f t="shared" si="21"/>
        <v>3118.5</v>
      </c>
      <c r="I95" s="48"/>
      <c r="J95" s="2">
        <v>10.5</v>
      </c>
      <c r="K95" s="57">
        <v>0.1</v>
      </c>
      <c r="L95" s="56">
        <f t="shared" si="22"/>
        <v>1.05</v>
      </c>
      <c r="N95" s="56">
        <f t="shared" si="23"/>
        <v>11.55</v>
      </c>
    </row>
    <row r="96" spans="1:18" s="58" customFormat="1" ht="15.75">
      <c r="A96" s="19">
        <f>A94+A95</f>
        <v>45.822000000000003</v>
      </c>
      <c r="B96" s="20" t="s">
        <v>25</v>
      </c>
      <c r="C96" s="83"/>
      <c r="D96" s="83"/>
      <c r="E96" s="83"/>
      <c r="F96" s="83"/>
      <c r="G96" s="20" t="s">
        <v>26</v>
      </c>
      <c r="H96" s="22">
        <f>H94+H95</f>
        <v>12371.939999999999</v>
      </c>
      <c r="I96" s="48"/>
      <c r="J96" s="56">
        <f>SUM(J93:J95)</f>
        <v>55.14</v>
      </c>
      <c r="K96" s="57"/>
      <c r="L96" s="56"/>
      <c r="M96" s="56"/>
      <c r="N96" s="56"/>
    </row>
    <row r="97" spans="1:15" s="48" customFormat="1">
      <c r="A97" s="100"/>
      <c r="B97" s="101"/>
      <c r="C97" s="101"/>
      <c r="D97" s="101"/>
      <c r="E97" s="101"/>
      <c r="F97" s="101"/>
      <c r="G97" s="101"/>
      <c r="H97" s="102"/>
    </row>
    <row r="98" spans="1:15" s="48" customFormat="1" ht="18">
      <c r="A98" s="74" t="s">
        <v>136</v>
      </c>
      <c r="B98" s="74"/>
      <c r="C98" s="74"/>
      <c r="D98" s="74"/>
      <c r="E98" s="74"/>
      <c r="F98" s="74"/>
      <c r="G98" s="74"/>
      <c r="H98" s="74"/>
      <c r="J98" s="56"/>
      <c r="K98" s="57"/>
      <c r="L98" s="56"/>
      <c r="N98" s="56"/>
    </row>
    <row r="99" spans="1:15" s="52" customFormat="1" ht="15">
      <c r="A99" s="73" t="s">
        <v>10</v>
      </c>
      <c r="B99" s="50" t="s">
        <v>11</v>
      </c>
      <c r="C99" s="75" t="s">
        <v>12</v>
      </c>
      <c r="D99" s="75"/>
      <c r="E99" s="75"/>
      <c r="F99" s="75"/>
      <c r="G99" s="51" t="s">
        <v>13</v>
      </c>
      <c r="H99" s="51" t="s">
        <v>9</v>
      </c>
      <c r="I99" s="48"/>
      <c r="J99" s="56"/>
      <c r="K99" s="57"/>
      <c r="L99" s="56"/>
      <c r="N99" s="56"/>
    </row>
    <row r="100" spans="1:15" s="2" customFormat="1" ht="30.75" customHeight="1">
      <c r="A100" s="68">
        <f>N100</f>
        <v>43.05</v>
      </c>
      <c r="B100" s="15" t="s">
        <v>18</v>
      </c>
      <c r="C100" s="76" t="s">
        <v>135</v>
      </c>
      <c r="D100" s="76"/>
      <c r="E100" s="76"/>
      <c r="F100" s="76"/>
      <c r="G100" s="16">
        <v>270</v>
      </c>
      <c r="H100" s="17">
        <f>G100*A100</f>
        <v>11623.5</v>
      </c>
      <c r="I100" s="1"/>
      <c r="J100" s="2">
        <v>41</v>
      </c>
      <c r="K100" s="40">
        <v>0.05</v>
      </c>
      <c r="L100" s="2">
        <f t="shared" ref="L100" si="25">J100*K100</f>
        <v>2.0500000000000003</v>
      </c>
      <c r="N100" s="2">
        <f t="shared" ref="N100" si="26">J100+L100</f>
        <v>43.05</v>
      </c>
    </row>
    <row r="101" spans="1:15" s="58" customFormat="1" ht="15.75">
      <c r="A101" s="19">
        <f>SUM(A100:A100)</f>
        <v>43.05</v>
      </c>
      <c r="B101" s="20" t="s">
        <v>25</v>
      </c>
      <c r="C101" s="83"/>
      <c r="D101" s="83"/>
      <c r="E101" s="83"/>
      <c r="F101" s="83"/>
      <c r="G101" s="20" t="s">
        <v>26</v>
      </c>
      <c r="H101" s="22">
        <f>H100</f>
        <v>11623.5</v>
      </c>
      <c r="I101" s="48"/>
      <c r="J101" s="56" t="e">
        <f>J100+#REF!+#REF!+#REF!+#REF!+#REF!+#REF!+#REF!+#REF!+#REF!+#REF!+#REF!</f>
        <v>#REF!</v>
      </c>
      <c r="K101" s="57"/>
      <c r="L101" s="56"/>
      <c r="M101" s="56"/>
      <c r="N101" s="56"/>
    </row>
    <row r="102" spans="1:15" s="48" customFormat="1">
      <c r="A102" s="100"/>
      <c r="B102" s="101"/>
      <c r="C102" s="101"/>
      <c r="D102" s="101"/>
      <c r="E102" s="101"/>
      <c r="F102" s="101"/>
      <c r="G102" s="101"/>
      <c r="H102" s="102"/>
    </row>
    <row r="103" spans="1:15" s="48" customFormat="1" ht="18.75" customHeight="1">
      <c r="A103" s="60">
        <f>A101+A96+A89</f>
        <v>759.37049999999988</v>
      </c>
      <c r="B103" s="71" t="s">
        <v>25</v>
      </c>
      <c r="C103" s="107" t="s">
        <v>134</v>
      </c>
      <c r="D103" s="107"/>
      <c r="E103" s="107"/>
      <c r="F103" s="107"/>
      <c r="G103" s="71" t="s">
        <v>26</v>
      </c>
      <c r="H103" s="61">
        <f>H89+H96+H101</f>
        <v>205030.035</v>
      </c>
      <c r="K103" s="62"/>
    </row>
    <row r="104" spans="1:15" s="48" customFormat="1" ht="15.75" customHeight="1">
      <c r="A104" s="100"/>
      <c r="B104" s="101"/>
      <c r="C104" s="101"/>
      <c r="D104" s="101"/>
      <c r="E104" s="101"/>
      <c r="F104" s="101"/>
      <c r="G104" s="101"/>
      <c r="H104" s="102"/>
    </row>
    <row r="105" spans="1:15" s="48" customFormat="1" ht="18" hidden="1">
      <c r="A105" s="74" t="s">
        <v>33</v>
      </c>
      <c r="B105" s="74"/>
      <c r="C105" s="74"/>
      <c r="D105" s="74"/>
      <c r="E105" s="74"/>
      <c r="F105" s="74"/>
      <c r="G105" s="74"/>
      <c r="H105" s="74"/>
      <c r="J105" s="56"/>
      <c r="K105" s="57"/>
      <c r="L105" s="56">
        <v>90</v>
      </c>
      <c r="M105" s="48" t="e">
        <f>#REF!/L105</f>
        <v>#REF!</v>
      </c>
      <c r="N105" s="56">
        <v>30</v>
      </c>
      <c r="O105" s="48" t="e">
        <f>N105*M105</f>
        <v>#REF!</v>
      </c>
    </row>
    <row r="106" spans="1:15" s="52" customFormat="1" ht="15" hidden="1">
      <c r="A106" s="73" t="s">
        <v>10</v>
      </c>
      <c r="B106" s="50" t="s">
        <v>11</v>
      </c>
      <c r="C106" s="75" t="s">
        <v>12</v>
      </c>
      <c r="D106" s="75"/>
      <c r="E106" s="75"/>
      <c r="F106" s="75"/>
      <c r="G106" s="51" t="s">
        <v>13</v>
      </c>
      <c r="H106" s="51" t="s">
        <v>9</v>
      </c>
      <c r="I106" s="48"/>
      <c r="J106" s="56"/>
      <c r="K106" s="57"/>
      <c r="L106" s="56"/>
      <c r="N106" s="56"/>
    </row>
    <row r="107" spans="1:15" s="2" customFormat="1" ht="22.5" hidden="1" customHeight="1">
      <c r="A107" s="68">
        <v>0</v>
      </c>
      <c r="B107" s="15" t="s">
        <v>18</v>
      </c>
      <c r="C107" s="76" t="s">
        <v>34</v>
      </c>
      <c r="D107" s="76"/>
      <c r="E107" s="76"/>
      <c r="F107" s="76"/>
      <c r="G107" s="16" t="e">
        <f>#REF!</f>
        <v>#REF!</v>
      </c>
      <c r="H107" s="17" t="e">
        <f>G107*A107</f>
        <v>#REF!</v>
      </c>
      <c r="I107" s="1"/>
      <c r="J107" s="2">
        <v>25.55</v>
      </c>
      <c r="K107" s="40">
        <v>0.05</v>
      </c>
      <c r="L107" s="2">
        <f t="shared" ref="L107" si="27">J107*K107</f>
        <v>1.2775000000000001</v>
      </c>
      <c r="N107" s="2">
        <f t="shared" ref="N107" si="28">J107+L107</f>
        <v>26.827500000000001</v>
      </c>
    </row>
    <row r="108" spans="1:15" s="58" customFormat="1" ht="15.75" hidden="1">
      <c r="A108" s="19">
        <f>SUM(A107:A107)</f>
        <v>0</v>
      </c>
      <c r="B108" s="20" t="s">
        <v>25</v>
      </c>
      <c r="C108" s="83"/>
      <c r="D108" s="83"/>
      <c r="E108" s="83"/>
      <c r="F108" s="83"/>
      <c r="G108" s="20" t="s">
        <v>26</v>
      </c>
      <c r="H108" s="22" t="e">
        <f>H107</f>
        <v>#REF!</v>
      </c>
      <c r="I108" s="48"/>
      <c r="J108" s="56" t="e">
        <f>J107+#REF!+#REF!+#REF!+#REF!+J26+#REF!+J24+J23+J17+J16+J15</f>
        <v>#REF!</v>
      </c>
      <c r="K108" s="57"/>
      <c r="L108" s="56"/>
      <c r="M108" s="56"/>
      <c r="N108" s="56"/>
    </row>
    <row r="109" spans="1:15" s="48" customFormat="1" ht="15.75" hidden="1" customHeight="1">
      <c r="A109" s="100"/>
      <c r="B109" s="101"/>
      <c r="C109" s="101"/>
      <c r="D109" s="101"/>
      <c r="E109" s="101"/>
      <c r="F109" s="101"/>
      <c r="G109" s="101"/>
      <c r="H109" s="102"/>
    </row>
    <row r="110" spans="1:15" s="48" customFormat="1" ht="21.75" customHeight="1">
      <c r="A110" s="60">
        <f>A103+A81+A58+A35</f>
        <v>3009.7649999999994</v>
      </c>
      <c r="B110" s="71" t="s">
        <v>25</v>
      </c>
      <c r="C110" s="107" t="s">
        <v>92</v>
      </c>
      <c r="D110" s="107"/>
      <c r="E110" s="107"/>
      <c r="F110" s="107"/>
      <c r="G110" s="71" t="s">
        <v>26</v>
      </c>
      <c r="H110" s="61">
        <f>H103+H81+H58+H35</f>
        <v>820196.55</v>
      </c>
      <c r="K110" s="62"/>
    </row>
    <row r="111" spans="1:15" s="48" customFormat="1" ht="21.75" customHeight="1">
      <c r="A111" s="108"/>
      <c r="B111" s="108"/>
      <c r="C111" s="108"/>
      <c r="D111" s="108"/>
      <c r="E111" s="108"/>
      <c r="F111" s="108"/>
      <c r="G111" s="108"/>
      <c r="H111" s="108"/>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38</v>
      </c>
      <c r="D114" s="129"/>
      <c r="E114" s="129"/>
      <c r="F114" s="130"/>
      <c r="G114" s="24">
        <v>360</v>
      </c>
      <c r="H114" s="25">
        <f>A114*G114</f>
        <v>39600</v>
      </c>
    </row>
    <row r="115" spans="1:12" s="1" customFormat="1" ht="38.450000000000003" customHeight="1">
      <c r="A115" s="23">
        <v>75</v>
      </c>
      <c r="B115" s="23" t="s">
        <v>22</v>
      </c>
      <c r="C115" s="131" t="s">
        <v>39</v>
      </c>
      <c r="D115" s="131"/>
      <c r="E115" s="131"/>
      <c r="F115" s="131"/>
      <c r="G115" s="24">
        <v>180</v>
      </c>
      <c r="H115" s="25">
        <f>A115*G115</f>
        <v>13500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93</v>
      </c>
      <c r="D117" s="107"/>
      <c r="E117" s="107"/>
      <c r="F117" s="107"/>
      <c r="G117" s="27" t="s">
        <v>43</v>
      </c>
      <c r="H117" s="28">
        <f>H114+H115+H116</f>
        <v>62100</v>
      </c>
    </row>
    <row r="118" spans="1:12" s="48" customFormat="1">
      <c r="A118" s="108"/>
      <c r="B118" s="108"/>
      <c r="C118" s="108"/>
      <c r="D118" s="108"/>
      <c r="E118" s="108"/>
      <c r="F118" s="108"/>
      <c r="G118" s="108"/>
      <c r="H118" s="108"/>
      <c r="J118" s="48" t="e">
        <f>#REF!-#REF!-#REF!</f>
        <v>#REF!</v>
      </c>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38</v>
      </c>
      <c r="D121" s="129"/>
      <c r="E121" s="129"/>
      <c r="F121" s="130"/>
      <c r="G121" s="24">
        <v>360</v>
      </c>
      <c r="H121" s="25">
        <f>A121*G121</f>
        <v>39600</v>
      </c>
    </row>
    <row r="122" spans="1:12" s="1" customFormat="1" ht="38.450000000000003" customHeight="1">
      <c r="A122" s="23">
        <v>75</v>
      </c>
      <c r="B122" s="23" t="s">
        <v>22</v>
      </c>
      <c r="C122" s="131" t="s">
        <v>39</v>
      </c>
      <c r="D122" s="131"/>
      <c r="E122" s="131"/>
      <c r="F122" s="131"/>
      <c r="G122" s="24">
        <v>180</v>
      </c>
      <c r="H122" s="25">
        <f>A122*G122</f>
        <v>13500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137</v>
      </c>
      <c r="D124" s="107"/>
      <c r="E124" s="107"/>
      <c r="F124" s="107"/>
      <c r="G124" s="27" t="s">
        <v>43</v>
      </c>
      <c r="H124" s="28">
        <f>H121+H122+H123</f>
        <v>62100</v>
      </c>
    </row>
    <row r="125" spans="1:12" s="48" customFormat="1">
      <c r="A125" s="100"/>
      <c r="B125" s="101"/>
      <c r="C125" s="101"/>
      <c r="D125" s="101"/>
      <c r="E125" s="101"/>
      <c r="F125" s="101"/>
      <c r="G125" s="101"/>
      <c r="H125" s="102"/>
    </row>
    <row r="126" spans="1:12" s="1" customFormat="1" ht="18">
      <c r="A126" s="109" t="s">
        <v>36</v>
      </c>
      <c r="B126" s="109"/>
      <c r="C126" s="109"/>
      <c r="D126" s="109"/>
      <c r="E126" s="109"/>
      <c r="F126" s="109"/>
      <c r="G126" s="109"/>
      <c r="H126" s="109"/>
    </row>
    <row r="127" spans="1:12" s="1" customFormat="1" ht="15">
      <c r="A127" s="72" t="s">
        <v>10</v>
      </c>
      <c r="B127" s="12" t="s">
        <v>11</v>
      </c>
      <c r="C127" s="110" t="s">
        <v>37</v>
      </c>
      <c r="D127" s="110"/>
      <c r="E127" s="110"/>
      <c r="F127" s="110"/>
      <c r="G127" s="13" t="s">
        <v>13</v>
      </c>
      <c r="H127" s="13" t="s">
        <v>9</v>
      </c>
      <c r="J127" s="1">
        <v>1700</v>
      </c>
      <c r="K127" s="1">
        <f>J127/A129</f>
        <v>22.666666666666668</v>
      </c>
    </row>
    <row r="128" spans="1:12" s="1" customFormat="1" ht="53.1" customHeight="1">
      <c r="A128" s="23">
        <v>110</v>
      </c>
      <c r="B128" s="23" t="s">
        <v>22</v>
      </c>
      <c r="C128" s="128" t="s">
        <v>38</v>
      </c>
      <c r="D128" s="129"/>
      <c r="E128" s="129"/>
      <c r="F128" s="130"/>
      <c r="G128" s="24">
        <v>360</v>
      </c>
      <c r="H128" s="25">
        <f>A128*G128</f>
        <v>39600</v>
      </c>
    </row>
    <row r="129" spans="1:12" s="1" customFormat="1" ht="38.450000000000003" customHeight="1">
      <c r="A129" s="23">
        <v>75</v>
      </c>
      <c r="B129" s="23" t="s">
        <v>22</v>
      </c>
      <c r="C129" s="131" t="s">
        <v>39</v>
      </c>
      <c r="D129" s="131"/>
      <c r="E129" s="131"/>
      <c r="F129" s="131"/>
      <c r="G129" s="24">
        <v>180</v>
      </c>
      <c r="H129" s="25">
        <f>A129*G129</f>
        <v>13500</v>
      </c>
      <c r="J129"/>
      <c r="L129"/>
    </row>
    <row r="130" spans="1:12" s="1" customFormat="1" ht="42.95" customHeight="1">
      <c r="A130" s="15">
        <v>1</v>
      </c>
      <c r="B130" s="15" t="s">
        <v>40</v>
      </c>
      <c r="C130" s="132" t="s">
        <v>41</v>
      </c>
      <c r="D130" s="133"/>
      <c r="E130" s="133"/>
      <c r="F130" s="133"/>
      <c r="G130" s="24">
        <v>9000</v>
      </c>
      <c r="H130" s="25">
        <f>A130*G130</f>
        <v>9000</v>
      </c>
      <c r="J130"/>
      <c r="L130"/>
    </row>
    <row r="131" spans="1:12" s="48" customFormat="1" ht="15.75">
      <c r="A131" s="71"/>
      <c r="B131" s="71" t="s">
        <v>17</v>
      </c>
      <c r="C131" s="107" t="s">
        <v>138</v>
      </c>
      <c r="D131" s="107"/>
      <c r="E131" s="107"/>
      <c r="F131" s="107"/>
      <c r="G131" s="27" t="s">
        <v>43</v>
      </c>
      <c r="H131" s="28">
        <f>H128+H129+H130</f>
        <v>62100</v>
      </c>
    </row>
    <row r="132" spans="1:12" s="48" customFormat="1">
      <c r="A132" s="100"/>
      <c r="B132" s="101"/>
      <c r="C132" s="101"/>
      <c r="D132" s="101"/>
      <c r="E132" s="101"/>
      <c r="F132" s="101"/>
      <c r="G132" s="101"/>
      <c r="H132" s="102"/>
    </row>
    <row r="133" spans="1:12" s="1" customFormat="1" ht="18">
      <c r="A133" s="109" t="s">
        <v>36</v>
      </c>
      <c r="B133" s="109"/>
      <c r="C133" s="109"/>
      <c r="D133" s="109"/>
      <c r="E133" s="109"/>
      <c r="F133" s="109"/>
      <c r="G133" s="109"/>
      <c r="H133" s="109"/>
    </row>
    <row r="134" spans="1:12" s="1" customFormat="1" ht="15">
      <c r="A134" s="72" t="s">
        <v>10</v>
      </c>
      <c r="B134" s="12" t="s">
        <v>11</v>
      </c>
      <c r="C134" s="110" t="s">
        <v>37</v>
      </c>
      <c r="D134" s="110"/>
      <c r="E134" s="110"/>
      <c r="F134" s="110"/>
      <c r="G134" s="13" t="s">
        <v>13</v>
      </c>
      <c r="H134" s="13" t="s">
        <v>9</v>
      </c>
      <c r="J134" s="1">
        <v>1700</v>
      </c>
      <c r="K134" s="1">
        <f>J134/A135</f>
        <v>22.666666666666668</v>
      </c>
    </row>
    <row r="135" spans="1:12" s="1" customFormat="1" ht="38.450000000000003" customHeight="1">
      <c r="A135" s="23">
        <v>75</v>
      </c>
      <c r="B135" s="23" t="s">
        <v>22</v>
      </c>
      <c r="C135" s="131" t="s">
        <v>39</v>
      </c>
      <c r="D135" s="131"/>
      <c r="E135" s="131"/>
      <c r="F135" s="131"/>
      <c r="G135" s="24">
        <v>180</v>
      </c>
      <c r="H135" s="25">
        <f>A135*G135</f>
        <v>13500</v>
      </c>
      <c r="J135"/>
      <c r="L135"/>
    </row>
    <row r="136" spans="1:12" s="1" customFormat="1" ht="42.95" customHeight="1">
      <c r="A136" s="15">
        <v>1</v>
      </c>
      <c r="B136" s="15" t="s">
        <v>40</v>
      </c>
      <c r="C136" s="132" t="s">
        <v>41</v>
      </c>
      <c r="D136" s="133"/>
      <c r="E136" s="133"/>
      <c r="F136" s="133"/>
      <c r="G136" s="24">
        <v>9000</v>
      </c>
      <c r="H136" s="25">
        <f>A136*G136</f>
        <v>9000</v>
      </c>
      <c r="J136"/>
      <c r="L136"/>
    </row>
    <row r="137" spans="1:12" s="48" customFormat="1" ht="15.75">
      <c r="A137" s="71"/>
      <c r="B137" s="71" t="s">
        <v>17</v>
      </c>
      <c r="C137" s="107" t="s">
        <v>94</v>
      </c>
      <c r="D137" s="107"/>
      <c r="E137" s="107"/>
      <c r="F137" s="107"/>
      <c r="G137" s="27" t="s">
        <v>43</v>
      </c>
      <c r="H137" s="28">
        <f>H135+H136</f>
        <v>22500</v>
      </c>
    </row>
    <row r="138" spans="1:12" s="48" customFormat="1">
      <c r="A138" s="100"/>
      <c r="B138" s="101"/>
      <c r="C138" s="101"/>
      <c r="D138" s="101"/>
      <c r="E138" s="101"/>
      <c r="F138" s="101"/>
      <c r="G138" s="101"/>
      <c r="H138" s="102"/>
    </row>
    <row r="139" spans="1:12" s="48" customFormat="1" ht="21.75" customHeight="1">
      <c r="A139" s="60"/>
      <c r="B139" s="71"/>
      <c r="C139" s="107" t="s">
        <v>95</v>
      </c>
      <c r="D139" s="107"/>
      <c r="E139" s="107"/>
      <c r="F139" s="107"/>
      <c r="G139" s="71" t="s">
        <v>26</v>
      </c>
      <c r="H139" s="61">
        <f>H137+H131+H124+H117</f>
        <v>208800</v>
      </c>
      <c r="K139" s="62"/>
    </row>
    <row r="140" spans="1:12" s="48" customFormat="1">
      <c r="A140" s="100"/>
      <c r="B140" s="101"/>
      <c r="C140" s="101"/>
      <c r="D140" s="101"/>
      <c r="E140" s="101"/>
      <c r="F140" s="101"/>
      <c r="G140" s="101"/>
      <c r="H140" s="102"/>
    </row>
    <row r="141" spans="1:12" s="48" customFormat="1" ht="15" customHeight="1">
      <c r="A141" s="111" t="s">
        <v>44</v>
      </c>
      <c r="B141" s="111"/>
      <c r="C141" s="111"/>
      <c r="D141" s="111"/>
      <c r="E141" s="111"/>
      <c r="F141" s="111"/>
      <c r="G141" s="111"/>
      <c r="H141" s="111"/>
    </row>
    <row r="142" spans="1:12" s="48" customFormat="1" ht="388.5" customHeight="1">
      <c r="A142" s="112"/>
      <c r="B142" s="113"/>
      <c r="C142" s="113"/>
      <c r="D142" s="113"/>
      <c r="E142" s="113"/>
      <c r="F142" s="113"/>
      <c r="G142" s="113"/>
      <c r="H142" s="114"/>
      <c r="J142" s="63"/>
    </row>
    <row r="143" spans="1:12" s="48" customFormat="1" ht="41.25" customHeight="1">
      <c r="A143" s="115"/>
      <c r="B143" s="116"/>
      <c r="C143" s="116"/>
      <c r="D143" s="116"/>
      <c r="E143" s="116"/>
      <c r="F143" s="116"/>
      <c r="G143" s="116"/>
      <c r="H143" s="117"/>
    </row>
    <row r="144" spans="1:12" ht="28.15" customHeight="1">
      <c r="A144" s="118" t="s">
        <v>45</v>
      </c>
      <c r="B144" s="119"/>
      <c r="C144" s="119"/>
      <c r="D144" s="119"/>
      <c r="E144" s="119"/>
      <c r="F144" s="120"/>
      <c r="G144" s="29" t="s">
        <v>43</v>
      </c>
      <c r="H144" s="30">
        <f>H110+H139</f>
        <v>1028996.55</v>
      </c>
      <c r="J144" s="41"/>
    </row>
    <row r="145" spans="1:15" ht="28.15" hidden="1" customHeight="1">
      <c r="A145" s="121"/>
      <c r="B145" s="122"/>
      <c r="C145" s="122"/>
      <c r="D145" s="122"/>
      <c r="E145" s="122"/>
      <c r="F145" s="123"/>
      <c r="G145" s="29" t="s">
        <v>46</v>
      </c>
      <c r="H145" s="30">
        <v>0</v>
      </c>
      <c r="J145" s="42"/>
    </row>
    <row r="146" spans="1:15" ht="23.25" customHeight="1">
      <c r="A146" s="124"/>
      <c r="B146" s="125"/>
      <c r="C146" s="125"/>
      <c r="D146" s="125"/>
      <c r="E146" s="125"/>
      <c r="F146" s="126"/>
      <c r="G146" s="31" t="s">
        <v>47</v>
      </c>
      <c r="H146" s="32">
        <f>H144-H145</f>
        <v>1028996.55</v>
      </c>
      <c r="J146" s="42"/>
    </row>
    <row r="147" spans="1:15" ht="21.95" customHeight="1">
      <c r="A147" s="74" t="s">
        <v>48</v>
      </c>
      <c r="B147" s="74"/>
      <c r="C147" s="127" t="s">
        <v>142</v>
      </c>
      <c r="D147" s="127"/>
      <c r="E147" s="127"/>
      <c r="F147" s="127"/>
      <c r="G147" s="33" t="s">
        <v>49</v>
      </c>
      <c r="H147" s="34">
        <f>9000*4</f>
        <v>36000</v>
      </c>
      <c r="I147" s="4">
        <v>9</v>
      </c>
      <c r="J147" s="43"/>
    </row>
    <row r="148" spans="1:15" ht="21.95" customHeight="1">
      <c r="A148" s="74"/>
      <c r="B148" s="74"/>
      <c r="C148" s="127"/>
      <c r="D148" s="127"/>
      <c r="E148" s="127"/>
      <c r="F148" s="127"/>
      <c r="G148" s="31" t="s">
        <v>50</v>
      </c>
      <c r="H148" s="30">
        <f>H146+H147</f>
        <v>1064996.55</v>
      </c>
      <c r="J148" s="42"/>
    </row>
    <row r="149" spans="1:15" ht="21.95" customHeight="1">
      <c r="A149" s="74"/>
      <c r="B149" s="74"/>
      <c r="C149" s="127"/>
      <c r="D149" s="127"/>
      <c r="E149" s="127"/>
      <c r="F149" s="127"/>
      <c r="G149" s="33" t="s">
        <v>51</v>
      </c>
      <c r="H149" s="34">
        <f>H148*0.16</f>
        <v>170399.448</v>
      </c>
      <c r="J149" s="43">
        <v>19</v>
      </c>
      <c r="K149" s="4">
        <f>H144*J149</f>
        <v>19550934.449999999</v>
      </c>
      <c r="O149" s="44">
        <f>H150*4</f>
        <v>4941583.9920000006</v>
      </c>
    </row>
    <row r="150" spans="1:15" ht="21.95" customHeight="1">
      <c r="A150" s="74"/>
      <c r="B150" s="74"/>
      <c r="C150" s="127"/>
      <c r="D150" s="127"/>
      <c r="E150" s="127"/>
      <c r="F150" s="127"/>
      <c r="G150" s="35" t="s">
        <v>52</v>
      </c>
      <c r="H150" s="36">
        <f>H148+H149</f>
        <v>1235395.9980000001</v>
      </c>
      <c r="I150" s="44">
        <f>H150/A110</f>
        <v>410.46261020378682</v>
      </c>
      <c r="J150" s="45"/>
    </row>
    <row r="151" spans="1:15">
      <c r="A151" s="88"/>
      <c r="B151" s="88"/>
      <c r="C151" s="88"/>
      <c r="D151" s="88"/>
      <c r="E151" s="88"/>
      <c r="F151" s="88"/>
      <c r="G151" s="88"/>
      <c r="H151" s="88"/>
    </row>
    <row r="152" spans="1:15" ht="31.15" customHeight="1">
      <c r="A152" s="74" t="s">
        <v>53</v>
      </c>
      <c r="B152" s="74"/>
      <c r="C152" s="74"/>
      <c r="D152" s="74"/>
      <c r="E152" s="74"/>
      <c r="F152" s="74"/>
      <c r="G152" s="74"/>
      <c r="H152" s="74"/>
      <c r="J152" s="44"/>
    </row>
    <row r="153" spans="1:15" ht="12" customHeight="1">
      <c r="A153" s="134"/>
      <c r="B153" s="134"/>
      <c r="C153" s="134"/>
      <c r="D153" s="134"/>
      <c r="E153" s="134"/>
      <c r="F153" s="134"/>
      <c r="G153" s="134"/>
      <c r="H153" s="134"/>
      <c r="K153" s="44">
        <f>H146*12</f>
        <v>12347958.600000001</v>
      </c>
    </row>
    <row r="154" spans="1:15" ht="30.75" customHeight="1" thickBot="1">
      <c r="A154" s="135" t="s">
        <v>54</v>
      </c>
      <c r="B154" s="135"/>
      <c r="C154" s="136" t="s">
        <v>55</v>
      </c>
      <c r="D154" s="136"/>
      <c r="E154" s="136"/>
      <c r="F154" s="136"/>
      <c r="G154" s="137" t="s">
        <v>56</v>
      </c>
      <c r="H154" s="137"/>
    </row>
    <row r="155" spans="1:15" ht="19.899999999999999" customHeight="1" thickBot="1">
      <c r="A155" s="138" t="s">
        <v>57</v>
      </c>
      <c r="B155" s="138"/>
      <c r="C155" s="136" t="s">
        <v>58</v>
      </c>
      <c r="D155" s="136"/>
      <c r="E155" s="136"/>
      <c r="F155" s="136"/>
      <c r="G155" s="139"/>
      <c r="H155" s="140"/>
      <c r="K155" s="64">
        <f>H150*3</f>
        <v>3706187.9940000004</v>
      </c>
    </row>
    <row r="156" spans="1:15" ht="27.6" customHeight="1">
      <c r="A156" s="142" t="s">
        <v>59</v>
      </c>
      <c r="B156" s="143"/>
      <c r="C156" s="37" t="s">
        <v>60</v>
      </c>
      <c r="D156" s="148">
        <f>H150*0.6</f>
        <v>741237.59880000004</v>
      </c>
      <c r="E156" s="148"/>
      <c r="F156" s="148"/>
      <c r="G156" s="149"/>
      <c r="H156" s="150"/>
    </row>
    <row r="157" spans="1:15" ht="39" customHeight="1">
      <c r="A157" s="144"/>
      <c r="B157" s="145"/>
      <c r="C157" s="37" t="s">
        <v>98</v>
      </c>
      <c r="D157" s="141">
        <f>H150*0.3</f>
        <v>370618.79940000002</v>
      </c>
      <c r="E157" s="141"/>
      <c r="F157" s="141"/>
      <c r="G157" s="151"/>
      <c r="H157" s="152"/>
      <c r="J157" s="44">
        <f>H150-'[1]CTZ 8T (altura 270.7)'!H66</f>
        <v>997094.64261280023</v>
      </c>
    </row>
    <row r="158" spans="1:15" ht="39" customHeight="1">
      <c r="A158" s="144"/>
      <c r="B158" s="145"/>
      <c r="C158" s="37" t="s">
        <v>99</v>
      </c>
      <c r="D158" s="141">
        <f>H150*0.1</f>
        <v>123539.59980000003</v>
      </c>
      <c r="E158" s="141"/>
      <c r="F158" s="141"/>
      <c r="G158" s="151"/>
      <c r="H158" s="152"/>
      <c r="J158" s="44"/>
    </row>
    <row r="159" spans="1:15" ht="31.5" customHeight="1">
      <c r="A159" s="144"/>
      <c r="B159" s="145"/>
      <c r="C159" s="155" t="s">
        <v>61</v>
      </c>
      <c r="D159" s="157">
        <f>D156+D157+D158</f>
        <v>1235395.9980000001</v>
      </c>
      <c r="E159" s="158"/>
      <c r="F159" s="159"/>
      <c r="G159" s="153"/>
      <c r="H159" s="154"/>
      <c r="J159" s="46"/>
      <c r="M159" s="46">
        <f>D156*8</f>
        <v>5929900.7904000003</v>
      </c>
    </row>
    <row r="160" spans="1:15" ht="5.45" hidden="1" customHeight="1">
      <c r="A160" s="146"/>
      <c r="B160" s="147"/>
      <c r="C160" s="156"/>
      <c r="D160" s="160"/>
      <c r="E160" s="161"/>
      <c r="F160" s="162"/>
      <c r="G160" s="163" t="s">
        <v>62</v>
      </c>
      <c r="H160" s="164"/>
    </row>
    <row r="161" spans="1:12" ht="24.95" customHeight="1">
      <c r="A161" s="172" t="s">
        <v>63</v>
      </c>
      <c r="B161" s="173"/>
      <c r="C161" s="38" t="s">
        <v>100</v>
      </c>
      <c r="D161" s="167"/>
      <c r="E161" s="168"/>
      <c r="F161" s="169"/>
      <c r="G161" s="165" t="s">
        <v>155</v>
      </c>
      <c r="H161" s="166"/>
      <c r="J161" s="38">
        <v>75</v>
      </c>
    </row>
    <row r="162" spans="1:12" ht="24.95" customHeight="1">
      <c r="A162" s="174"/>
      <c r="B162" s="175"/>
      <c r="C162" s="38" t="s">
        <v>101</v>
      </c>
      <c r="D162" s="167"/>
      <c r="E162" s="168"/>
      <c r="F162" s="169"/>
      <c r="G162" s="165" t="s">
        <v>103</v>
      </c>
      <c r="H162" s="166"/>
      <c r="J162" s="38">
        <v>120</v>
      </c>
      <c r="L162" s="46"/>
    </row>
    <row r="163" spans="1:12" ht="24.95" customHeight="1">
      <c r="A163" s="174"/>
      <c r="B163" s="175"/>
      <c r="C163" s="38" t="s">
        <v>102</v>
      </c>
      <c r="D163" s="167"/>
      <c r="E163" s="168"/>
      <c r="F163" s="169"/>
      <c r="G163" s="165" t="s">
        <v>156</v>
      </c>
      <c r="H163" s="166"/>
      <c r="J163" s="38">
        <f t="shared" ref="J163" si="29">J162+15</f>
        <v>135</v>
      </c>
      <c r="L163" s="46"/>
    </row>
    <row r="164" spans="1:12" ht="24.95" customHeight="1">
      <c r="A164" s="174"/>
      <c r="B164" s="175"/>
      <c r="C164" s="38" t="s">
        <v>70</v>
      </c>
      <c r="D164" s="167"/>
      <c r="E164" s="168"/>
      <c r="F164" s="169"/>
      <c r="G164" s="165" t="s">
        <v>157</v>
      </c>
      <c r="H164" s="166"/>
      <c r="J164" s="38">
        <f>J163+15</f>
        <v>150</v>
      </c>
    </row>
    <row r="165" spans="1:12" ht="24.95" hidden="1" customHeight="1">
      <c r="A165" s="174"/>
      <c r="B165" s="175"/>
      <c r="C165" s="38" t="s">
        <v>70</v>
      </c>
      <c r="D165" s="167"/>
      <c r="E165" s="168"/>
      <c r="F165" s="169"/>
      <c r="G165" s="165" t="s">
        <v>71</v>
      </c>
      <c r="H165" s="166"/>
      <c r="J165" s="47"/>
    </row>
    <row r="166" spans="1:12" ht="24.95" hidden="1" customHeight="1">
      <c r="A166" s="174"/>
      <c r="B166" s="175"/>
      <c r="C166" s="38" t="s">
        <v>72</v>
      </c>
      <c r="D166" s="167"/>
      <c r="E166" s="168"/>
      <c r="F166" s="169"/>
      <c r="G166" s="165" t="s">
        <v>71</v>
      </c>
      <c r="H166" s="166"/>
      <c r="J166" s="47"/>
    </row>
    <row r="167" spans="1:12" ht="24.95" hidden="1" customHeight="1">
      <c r="A167" s="176"/>
      <c r="B167" s="177"/>
      <c r="C167" s="38" t="s">
        <v>73</v>
      </c>
      <c r="D167" s="167"/>
      <c r="E167" s="168"/>
      <c r="F167" s="169"/>
      <c r="G167" s="165" t="s">
        <v>74</v>
      </c>
      <c r="H167" s="166"/>
      <c r="J167" s="47"/>
    </row>
    <row r="168" spans="1:12" ht="19.149999999999999" customHeight="1">
      <c r="A168" s="135" t="s">
        <v>75</v>
      </c>
      <c r="B168" s="135"/>
      <c r="C168" s="170" t="s">
        <v>76</v>
      </c>
      <c r="D168" s="170"/>
      <c r="E168" s="170"/>
      <c r="F168" s="170"/>
      <c r="G168" s="91"/>
      <c r="H168" s="171"/>
      <c r="J168" s="46">
        <f>SUM(D162:F164)</f>
        <v>0</v>
      </c>
    </row>
    <row r="169" spans="1:12" ht="10.15" customHeight="1">
      <c r="A169" s="88"/>
      <c r="B169" s="88"/>
      <c r="C169" s="88"/>
      <c r="D169" s="88"/>
      <c r="E169" s="88"/>
      <c r="F169" s="88"/>
      <c r="G169" s="189"/>
      <c r="H169" s="189"/>
      <c r="J169" s="46"/>
      <c r="K169" s="46"/>
    </row>
    <row r="170" spans="1:12" ht="117" customHeight="1">
      <c r="A170" s="137" t="s">
        <v>77</v>
      </c>
      <c r="B170" s="137"/>
      <c r="C170" s="190" t="s">
        <v>141</v>
      </c>
      <c r="D170" s="190"/>
      <c r="E170" s="190"/>
      <c r="F170" s="190"/>
      <c r="G170" s="190"/>
      <c r="H170" s="39"/>
      <c r="J170" s="46"/>
    </row>
    <row r="171" spans="1:12" ht="27" customHeight="1">
      <c r="A171" s="137"/>
      <c r="B171" s="137"/>
      <c r="C171" s="190" t="s">
        <v>78</v>
      </c>
      <c r="D171" s="190"/>
      <c r="E171" s="190"/>
      <c r="F171" s="190"/>
      <c r="G171" s="190"/>
      <c r="H171" s="39"/>
    </row>
    <row r="172" spans="1:12" ht="67.150000000000006" customHeight="1">
      <c r="A172" s="137"/>
      <c r="B172" s="137"/>
      <c r="C172" s="190" t="s">
        <v>79</v>
      </c>
      <c r="D172" s="190"/>
      <c r="E172" s="190"/>
      <c r="F172" s="190"/>
      <c r="G172" s="190"/>
      <c r="H172" s="39"/>
    </row>
    <row r="173" spans="1:12" ht="54" customHeight="1">
      <c r="A173" s="137"/>
      <c r="B173" s="137"/>
      <c r="C173" s="190" t="s">
        <v>80</v>
      </c>
      <c r="D173" s="190"/>
      <c r="E173" s="190"/>
      <c r="F173" s="190"/>
      <c r="G173" s="190"/>
      <c r="H173" s="39"/>
    </row>
    <row r="174" spans="1:12" ht="150.75" hidden="1" customHeight="1">
      <c r="A174" s="137"/>
      <c r="B174" s="137"/>
      <c r="C174" s="181" t="s">
        <v>81</v>
      </c>
      <c r="D174" s="182"/>
      <c r="E174" s="182"/>
      <c r="F174" s="182"/>
      <c r="G174" s="183"/>
      <c r="H174" s="39"/>
    </row>
    <row r="175" spans="1:12" ht="30" customHeight="1">
      <c r="A175" s="137"/>
      <c r="B175" s="137"/>
      <c r="C175" s="190" t="s">
        <v>82</v>
      </c>
      <c r="D175" s="190"/>
      <c r="E175" s="190"/>
      <c r="F175" s="190"/>
      <c r="G175" s="190"/>
      <c r="H175" s="39"/>
    </row>
    <row r="176" spans="1:12" ht="51" customHeight="1">
      <c r="A176" s="137"/>
      <c r="B176" s="137"/>
      <c r="C176" s="190" t="s">
        <v>83</v>
      </c>
      <c r="D176" s="190"/>
      <c r="E176" s="190"/>
      <c r="F176" s="190"/>
      <c r="G176" s="190"/>
      <c r="H176" s="39"/>
    </row>
    <row r="177" spans="1:8" ht="64.5" hidden="1" customHeight="1">
      <c r="A177" s="137"/>
      <c r="B177" s="137"/>
      <c r="C177" s="181" t="s">
        <v>84</v>
      </c>
      <c r="D177" s="182"/>
      <c r="E177" s="182"/>
      <c r="F177" s="182"/>
      <c r="G177" s="183"/>
      <c r="H177" s="39"/>
    </row>
    <row r="178" spans="1:8" ht="103.5" customHeight="1">
      <c r="A178" s="137"/>
      <c r="B178" s="137"/>
      <c r="C178" s="184" t="s">
        <v>85</v>
      </c>
      <c r="D178" s="184"/>
      <c r="E178" s="184"/>
      <c r="F178" s="184"/>
      <c r="G178" s="184"/>
      <c r="H178" s="39"/>
    </row>
    <row r="179" spans="1:8" ht="24.95" customHeight="1">
      <c r="A179" s="137"/>
      <c r="B179" s="137"/>
      <c r="C179" s="184" t="s">
        <v>86</v>
      </c>
      <c r="D179" s="184"/>
      <c r="E179" s="184"/>
      <c r="F179" s="184"/>
      <c r="G179" s="184"/>
      <c r="H179" s="39"/>
    </row>
    <row r="180" spans="1:8" ht="7.9" customHeight="1">
      <c r="A180" s="185"/>
      <c r="B180" s="185"/>
      <c r="C180" s="185"/>
      <c r="D180" s="185"/>
      <c r="E180" s="185"/>
      <c r="F180" s="185"/>
      <c r="G180" s="185"/>
      <c r="H180" s="185"/>
    </row>
    <row r="181" spans="1:8" ht="30" customHeight="1">
      <c r="A181" s="185"/>
      <c r="B181" s="185"/>
      <c r="C181" s="185"/>
      <c r="D181" s="185"/>
      <c r="E181" s="185"/>
      <c r="F181" s="185"/>
      <c r="G181" s="185"/>
      <c r="H181" s="185"/>
    </row>
    <row r="182" spans="1:8" ht="30" customHeight="1">
      <c r="A182" s="185"/>
      <c r="B182" s="185"/>
      <c r="C182" s="185"/>
      <c r="D182" s="185"/>
      <c r="E182" s="185"/>
      <c r="F182" s="185"/>
      <c r="G182" s="185"/>
      <c r="H182" s="185"/>
    </row>
    <row r="183" spans="1:8" ht="24" customHeight="1">
      <c r="A183" s="185"/>
      <c r="B183" s="185"/>
      <c r="C183" s="185"/>
      <c r="D183" s="185"/>
      <c r="E183" s="185"/>
      <c r="F183" s="185"/>
      <c r="G183" s="185"/>
      <c r="H183" s="185"/>
    </row>
    <row r="184" spans="1:8" ht="43.9" customHeight="1">
      <c r="A184" s="185"/>
      <c r="B184" s="185"/>
      <c r="C184" s="185"/>
      <c r="D184" s="185"/>
      <c r="E184" s="185"/>
      <c r="F184" s="185"/>
      <c r="G184" s="185"/>
      <c r="H184" s="185"/>
    </row>
    <row r="185" spans="1:8" ht="18">
      <c r="A185" s="186" t="s">
        <v>87</v>
      </c>
      <c r="B185" s="187"/>
      <c r="C185" s="187"/>
      <c r="D185" s="187"/>
      <c r="E185" s="187"/>
      <c r="F185" s="187"/>
      <c r="G185" s="187"/>
      <c r="H185" s="188"/>
    </row>
    <row r="186" spans="1:8">
      <c r="A186" s="178" t="s">
        <v>88</v>
      </c>
      <c r="B186" s="179"/>
      <c r="C186" s="179"/>
      <c r="D186" s="179"/>
      <c r="E186" s="179"/>
      <c r="F186" s="179"/>
      <c r="G186" s="179"/>
      <c r="H186" s="180"/>
    </row>
  </sheetData>
  <mergeCells count="203">
    <mergeCell ref="C139:F139"/>
    <mergeCell ref="A138:H138"/>
    <mergeCell ref="A140:H140"/>
    <mergeCell ref="C134:F134"/>
    <mergeCell ref="C135:F135"/>
    <mergeCell ref="C136:F136"/>
    <mergeCell ref="C137:F137"/>
    <mergeCell ref="A132:H132"/>
    <mergeCell ref="C128:F128"/>
    <mergeCell ref="C129:F129"/>
    <mergeCell ref="C130:F130"/>
    <mergeCell ref="C131:F131"/>
    <mergeCell ref="A125:H125"/>
    <mergeCell ref="A133:H133"/>
    <mergeCell ref="C103:F103"/>
    <mergeCell ref="A82:H82"/>
    <mergeCell ref="A98:H98"/>
    <mergeCell ref="C99:F99"/>
    <mergeCell ref="C100:F100"/>
    <mergeCell ref="C101:F101"/>
    <mergeCell ref="A97:H97"/>
    <mergeCell ref="A102:H102"/>
    <mergeCell ref="A91:H91"/>
    <mergeCell ref="C92:F92"/>
    <mergeCell ref="C93:F93"/>
    <mergeCell ref="C94:F94"/>
    <mergeCell ref="C95:F95"/>
    <mergeCell ref="C96:F96"/>
    <mergeCell ref="C87:F87"/>
    <mergeCell ref="A88:F88"/>
    <mergeCell ref="C89:F89"/>
    <mergeCell ref="A90:H90"/>
    <mergeCell ref="C81:F81"/>
    <mergeCell ref="A59:H59"/>
    <mergeCell ref="A83:H83"/>
    <mergeCell ref="C84:F84"/>
    <mergeCell ref="C85:F85"/>
    <mergeCell ref="C86:F86"/>
    <mergeCell ref="A75:H75"/>
    <mergeCell ref="A76:H76"/>
    <mergeCell ref="C77:F77"/>
    <mergeCell ref="C78:F78"/>
    <mergeCell ref="C79:F79"/>
    <mergeCell ref="A80:H80"/>
    <mergeCell ref="A70:H70"/>
    <mergeCell ref="C71:F71"/>
    <mergeCell ref="C72:F72"/>
    <mergeCell ref="C73:F73"/>
    <mergeCell ref="C74:F74"/>
    <mergeCell ref="C64:F64"/>
    <mergeCell ref="C65:F65"/>
    <mergeCell ref="A66:F66"/>
    <mergeCell ref="C67:F67"/>
    <mergeCell ref="C68:H68"/>
    <mergeCell ref="A69:H69"/>
    <mergeCell ref="C61:F61"/>
    <mergeCell ref="C58:F58"/>
    <mergeCell ref="A36:H36"/>
    <mergeCell ref="A60:H60"/>
    <mergeCell ref="C62:F62"/>
    <mergeCell ref="C63:F63"/>
    <mergeCell ref="C54:F54"/>
    <mergeCell ref="C55:F55"/>
    <mergeCell ref="C56:F56"/>
    <mergeCell ref="A57:H57"/>
    <mergeCell ref="C49:F49"/>
    <mergeCell ref="C50:F50"/>
    <mergeCell ref="C51:F51"/>
    <mergeCell ref="A52:H52"/>
    <mergeCell ref="A53:H53"/>
    <mergeCell ref="A43:F43"/>
    <mergeCell ref="C44:F44"/>
    <mergeCell ref="C45:H45"/>
    <mergeCell ref="A46:H46"/>
    <mergeCell ref="A47:H47"/>
    <mergeCell ref="C48:F48"/>
    <mergeCell ref="A181:H184"/>
    <mergeCell ref="A185:H185"/>
    <mergeCell ref="A186:H186"/>
    <mergeCell ref="C35:F35"/>
    <mergeCell ref="A37:H37"/>
    <mergeCell ref="C38:F38"/>
    <mergeCell ref="C39:F39"/>
    <mergeCell ref="C40:F40"/>
    <mergeCell ref="C41:F41"/>
    <mergeCell ref="C42:F42"/>
    <mergeCell ref="C175:G175"/>
    <mergeCell ref="C176:G176"/>
    <mergeCell ref="C177:G177"/>
    <mergeCell ref="C178:G178"/>
    <mergeCell ref="C179:G179"/>
    <mergeCell ref="A180:H180"/>
    <mergeCell ref="A168:B168"/>
    <mergeCell ref="C168:F168"/>
    <mergeCell ref="G168:H168"/>
    <mergeCell ref="A169:H169"/>
    <mergeCell ref="A170:B179"/>
    <mergeCell ref="C170:G170"/>
    <mergeCell ref="C171:G171"/>
    <mergeCell ref="C172:G172"/>
    <mergeCell ref="C173:G173"/>
    <mergeCell ref="C174:G174"/>
    <mergeCell ref="D165:F165"/>
    <mergeCell ref="G165:H165"/>
    <mergeCell ref="D166:F166"/>
    <mergeCell ref="G166:H166"/>
    <mergeCell ref="D167:F167"/>
    <mergeCell ref="G167:H167"/>
    <mergeCell ref="G160:H160"/>
    <mergeCell ref="A161:B167"/>
    <mergeCell ref="D161:F161"/>
    <mergeCell ref="G161:H161"/>
    <mergeCell ref="D162:F162"/>
    <mergeCell ref="G162:H162"/>
    <mergeCell ref="D163:F163"/>
    <mergeCell ref="G163:H163"/>
    <mergeCell ref="D164:F164"/>
    <mergeCell ref="G164:H164"/>
    <mergeCell ref="A155:B155"/>
    <mergeCell ref="C155:F155"/>
    <mergeCell ref="G155:H155"/>
    <mergeCell ref="A156:B160"/>
    <mergeCell ref="D156:F156"/>
    <mergeCell ref="G156:H159"/>
    <mergeCell ref="D157:F157"/>
    <mergeCell ref="D158:F158"/>
    <mergeCell ref="C159:C160"/>
    <mergeCell ref="D159:F160"/>
    <mergeCell ref="A151:H151"/>
    <mergeCell ref="A152:H152"/>
    <mergeCell ref="A153:H153"/>
    <mergeCell ref="A154:B154"/>
    <mergeCell ref="C154:F154"/>
    <mergeCell ref="G154:H154"/>
    <mergeCell ref="A118:H118"/>
    <mergeCell ref="A141:H141"/>
    <mergeCell ref="A142:H143"/>
    <mergeCell ref="A144:F146"/>
    <mergeCell ref="A147:B150"/>
    <mergeCell ref="C147:F150"/>
    <mergeCell ref="A119:H119"/>
    <mergeCell ref="C120:F120"/>
    <mergeCell ref="C121:F121"/>
    <mergeCell ref="C122:F122"/>
    <mergeCell ref="A112:H112"/>
    <mergeCell ref="C113:F113"/>
    <mergeCell ref="C114:F114"/>
    <mergeCell ref="C115:F115"/>
    <mergeCell ref="C116:F116"/>
    <mergeCell ref="C117:F117"/>
    <mergeCell ref="C106:F106"/>
    <mergeCell ref="C107:F107"/>
    <mergeCell ref="C108:F108"/>
    <mergeCell ref="A109:H109"/>
    <mergeCell ref="C110:F110"/>
    <mergeCell ref="A111:H111"/>
    <mergeCell ref="A104:H104"/>
    <mergeCell ref="A105:H105"/>
    <mergeCell ref="C123:F123"/>
    <mergeCell ref="C124:F124"/>
    <mergeCell ref="A126:H126"/>
    <mergeCell ref="C127:F127"/>
    <mergeCell ref="A29:H29"/>
    <mergeCell ref="A30:H30"/>
    <mergeCell ref="C31:F31"/>
    <mergeCell ref="C32:F32"/>
    <mergeCell ref="C33:F33"/>
    <mergeCell ref="A34:H34"/>
    <mergeCell ref="C23:F23"/>
    <mergeCell ref="A24:H24"/>
    <mergeCell ref="A25:H25"/>
    <mergeCell ref="C26:F26"/>
    <mergeCell ref="C27:F27"/>
    <mergeCell ref="C28:F28"/>
    <mergeCell ref="A18:H18"/>
    <mergeCell ref="A19:H19"/>
    <mergeCell ref="C20:F20"/>
    <mergeCell ref="C21:F21"/>
    <mergeCell ref="C22:F22"/>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8058BB32-5F0F-4899-927D-3757A743F6E2}"/>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10" max="7" man="1"/>
    <brk id="139" max="7" man="1"/>
    <brk id="143" max="7" man="1"/>
    <brk id="168" max="7" man="1"/>
    <brk id="186" max="16383"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35E9-CCB8-40DF-A892-32F54B5E15E0}">
  <dimension ref="A1:R186"/>
  <sheetViews>
    <sheetView view="pageBreakPreview" topLeftCell="A143" zoomScale="85" zoomScaleNormal="80" zoomScaleSheetLayoutView="85" workbookViewId="0">
      <selection activeCell="D157" sqref="D157:F157"/>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143</v>
      </c>
    </row>
    <row r="3" spans="1:18" ht="25.15" customHeight="1">
      <c r="A3" s="93" t="s">
        <v>3</v>
      </c>
      <c r="B3" s="93"/>
      <c r="C3" s="94" t="s">
        <v>4</v>
      </c>
      <c r="D3" s="94"/>
      <c r="E3" s="94"/>
      <c r="F3" s="94"/>
      <c r="G3" s="94"/>
      <c r="H3" s="94"/>
    </row>
    <row r="4" spans="1:18" ht="93.75" customHeight="1">
      <c r="A4" s="93" t="s">
        <v>5</v>
      </c>
      <c r="B4" s="93"/>
      <c r="C4" s="97" t="s">
        <v>144</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220</v>
      </c>
    </row>
    <row r="11" spans="1:18" s="2" customFormat="1" ht="21.95" customHeight="1">
      <c r="A11" s="14">
        <f>N11</f>
        <v>466.30500000000001</v>
      </c>
      <c r="B11" s="15" t="s">
        <v>18</v>
      </c>
      <c r="C11" s="76" t="s">
        <v>19</v>
      </c>
      <c r="D11" s="76"/>
      <c r="E11" s="76"/>
      <c r="F11" s="76"/>
      <c r="G11" s="16">
        <f>R10</f>
        <v>220</v>
      </c>
      <c r="H11" s="17">
        <f>G11*A11</f>
        <v>102587.1</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220</v>
      </c>
      <c r="H12" s="17">
        <f>A12*G12</f>
        <v>30321.059999999994</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220</v>
      </c>
      <c r="H13" s="17">
        <f>A13*G13</f>
        <v>14601.510000000002</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150029.67000000001</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220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220</v>
      </c>
      <c r="H22" s="17">
        <f t="shared" si="1"/>
        <v>7539.8399999999992</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7539.8399999999992</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220</v>
      </c>
      <c r="H27" s="17">
        <f>G27*A27</f>
        <v>6283.42</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6283.42</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220</v>
      </c>
      <c r="H32" s="17">
        <f>G32*A32</f>
        <v>11088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11088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174940.93000000002</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220</v>
      </c>
    </row>
    <row r="39" spans="1:18" s="2" customFormat="1" ht="21.95" customHeight="1">
      <c r="A39" s="14">
        <f>N39</f>
        <v>466.30500000000001</v>
      </c>
      <c r="B39" s="15" t="s">
        <v>18</v>
      </c>
      <c r="C39" s="76" t="s">
        <v>19</v>
      </c>
      <c r="D39" s="76"/>
      <c r="E39" s="76"/>
      <c r="F39" s="76"/>
      <c r="G39" s="16">
        <f>R38</f>
        <v>220</v>
      </c>
      <c r="H39" s="17">
        <f>G39*A39</f>
        <v>102587.1</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220</v>
      </c>
      <c r="H40" s="17">
        <f>A40*G40</f>
        <v>30321.059999999994</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220</v>
      </c>
      <c r="H41" s="17">
        <f>A41*G41</f>
        <v>14601.510000000002</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150029.67000000001</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220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220</v>
      </c>
      <c r="H50" s="17">
        <f t="shared" si="9"/>
        <v>7539.8399999999992</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7539.8399999999992</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220</v>
      </c>
      <c r="H55" s="17">
        <f>G55*A55</f>
        <v>6283.42</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6283.42</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163852.93000000002</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220</v>
      </c>
    </row>
    <row r="62" spans="1:18" s="2" customFormat="1" ht="21.95" customHeight="1">
      <c r="A62" s="14">
        <f>N62</f>
        <v>466.30500000000001</v>
      </c>
      <c r="B62" s="15" t="s">
        <v>18</v>
      </c>
      <c r="C62" s="76" t="s">
        <v>19</v>
      </c>
      <c r="D62" s="76"/>
      <c r="E62" s="76"/>
      <c r="F62" s="76"/>
      <c r="G62" s="16">
        <f>R61</f>
        <v>220</v>
      </c>
      <c r="H62" s="17">
        <f>G62*A62</f>
        <v>102587.1</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220</v>
      </c>
      <c r="H63" s="17">
        <f>A63*G63</f>
        <v>30321.059999999994</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220</v>
      </c>
      <c r="H64" s="17">
        <f>A64*G64</f>
        <v>14601.510000000002</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150029.67000000001</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220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220</v>
      </c>
      <c r="H73" s="17">
        <f t="shared" si="15"/>
        <v>7539.8399999999992</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7539.8399999999992</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220</v>
      </c>
      <c r="H78" s="17">
        <f>G78*A78</f>
        <v>6283.42</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6283.42</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163852.93000000002</v>
      </c>
      <c r="K81" s="62"/>
    </row>
    <row r="82" spans="1:18" s="48" customFormat="1">
      <c r="A82" s="100"/>
      <c r="B82" s="101"/>
      <c r="C82" s="101"/>
      <c r="D82" s="101"/>
      <c r="E82" s="101"/>
      <c r="F82" s="101"/>
      <c r="G82" s="101"/>
      <c r="H82" s="102"/>
    </row>
    <row r="83" spans="1:18" s="48" customFormat="1" ht="18">
      <c r="A83" s="74" t="s">
        <v>131</v>
      </c>
      <c r="B83" s="74"/>
      <c r="C83" s="74"/>
      <c r="D83" s="74"/>
      <c r="E83" s="74"/>
      <c r="F83" s="74"/>
      <c r="G83" s="74"/>
      <c r="H83" s="74"/>
      <c r="R83" s="48" t="s">
        <v>9</v>
      </c>
    </row>
    <row r="84" spans="1:18" s="52" customFormat="1" ht="15">
      <c r="A84" s="73" t="s">
        <v>10</v>
      </c>
      <c r="B84" s="50" t="s">
        <v>11</v>
      </c>
      <c r="C84" s="75" t="s">
        <v>12</v>
      </c>
      <c r="D84" s="75"/>
      <c r="E84" s="75"/>
      <c r="F84" s="75"/>
      <c r="G84" s="51" t="s">
        <v>13</v>
      </c>
      <c r="H84" s="51" t="s">
        <v>9</v>
      </c>
      <c r="J84" s="52" t="s">
        <v>14</v>
      </c>
      <c r="K84" s="52" t="s">
        <v>15</v>
      </c>
      <c r="L84" s="52" t="s">
        <v>16</v>
      </c>
      <c r="N84" s="52" t="s">
        <v>17</v>
      </c>
      <c r="R84" s="52">
        <v>220</v>
      </c>
    </row>
    <row r="85" spans="1:18" s="2" customFormat="1" ht="21.95" customHeight="1">
      <c r="A85" s="14">
        <f>N85</f>
        <v>466.30500000000001</v>
      </c>
      <c r="B85" s="15" t="s">
        <v>18</v>
      </c>
      <c r="C85" s="76" t="s">
        <v>19</v>
      </c>
      <c r="D85" s="76"/>
      <c r="E85" s="76"/>
      <c r="F85" s="76"/>
      <c r="G85" s="16">
        <f>R84</f>
        <v>220</v>
      </c>
      <c r="H85" s="17">
        <f>G85*A85</f>
        <v>102587.1</v>
      </c>
      <c r="J85" s="2">
        <v>444.1</v>
      </c>
      <c r="K85" s="40">
        <v>0.05</v>
      </c>
      <c r="L85" s="2">
        <f>J85*K85</f>
        <v>22.205000000000002</v>
      </c>
      <c r="N85" s="2">
        <f>J85+L85</f>
        <v>466.30500000000001</v>
      </c>
      <c r="O85" s="2">
        <v>2</v>
      </c>
      <c r="P85" s="2">
        <f>J85/O85</f>
        <v>222.05</v>
      </c>
    </row>
    <row r="86" spans="1:18" s="2" customFormat="1" ht="21.95" customHeight="1">
      <c r="A86" s="14">
        <f>N86</f>
        <v>137.82299999999998</v>
      </c>
      <c r="B86" s="15" t="s">
        <v>18</v>
      </c>
      <c r="C86" s="76" t="s">
        <v>20</v>
      </c>
      <c r="D86" s="76"/>
      <c r="E86" s="76"/>
      <c r="F86" s="76"/>
      <c r="G86" s="16">
        <f>R84</f>
        <v>220</v>
      </c>
      <c r="H86" s="17">
        <f>A86*G86</f>
        <v>30321.059999999994</v>
      </c>
      <c r="J86" s="2">
        <v>131.26</v>
      </c>
      <c r="K86" s="40">
        <v>0.05</v>
      </c>
      <c r="L86" s="2">
        <f>J86*K86</f>
        <v>6.5629999999999997</v>
      </c>
      <c r="N86" s="2">
        <f>J86+L86</f>
        <v>137.82299999999998</v>
      </c>
      <c r="O86" s="2">
        <v>2</v>
      </c>
      <c r="P86" s="2">
        <f t="shared" ref="P86:P87" si="20">J86/O86</f>
        <v>65.63</v>
      </c>
    </row>
    <row r="87" spans="1:18" s="2" customFormat="1" ht="21.95" customHeight="1">
      <c r="A87" s="14">
        <f>N87</f>
        <v>66.370500000000007</v>
      </c>
      <c r="B87" s="15" t="s">
        <v>18</v>
      </c>
      <c r="C87" s="76" t="s">
        <v>21</v>
      </c>
      <c r="D87" s="76"/>
      <c r="E87" s="76"/>
      <c r="F87" s="76"/>
      <c r="G87" s="16">
        <f>G86</f>
        <v>220</v>
      </c>
      <c r="H87" s="17">
        <f>A87*G87</f>
        <v>14601.510000000002</v>
      </c>
      <c r="J87" s="2">
        <v>63.21</v>
      </c>
      <c r="K87" s="40">
        <v>0.05</v>
      </c>
      <c r="L87" s="2">
        <f>J87*K87</f>
        <v>3.1605000000000003</v>
      </c>
      <c r="N87" s="2">
        <f>J87+L87</f>
        <v>66.370500000000007</v>
      </c>
      <c r="O87" s="2">
        <v>2</v>
      </c>
      <c r="P87" s="2">
        <f t="shared" si="20"/>
        <v>31.605</v>
      </c>
    </row>
    <row r="88" spans="1:18" s="2" customFormat="1" ht="45" customHeight="1">
      <c r="A88" s="81" t="s">
        <v>24</v>
      </c>
      <c r="B88" s="82"/>
      <c r="C88" s="82"/>
      <c r="D88" s="82"/>
      <c r="E88" s="82"/>
      <c r="F88" s="82"/>
      <c r="G88" s="18"/>
      <c r="H88" s="18"/>
      <c r="J88" s="2">
        <f>J85+J86+J87</f>
        <v>638.57000000000005</v>
      </c>
      <c r="K88" s="40"/>
      <c r="N88" s="2">
        <f>N85+N86</f>
        <v>604.12799999999993</v>
      </c>
    </row>
    <row r="89" spans="1:18" s="3" customFormat="1" ht="15.75">
      <c r="A89" s="19">
        <f>A85+A86+A87</f>
        <v>670.49849999999992</v>
      </c>
      <c r="B89" s="20" t="s">
        <v>25</v>
      </c>
      <c r="C89" s="83"/>
      <c r="D89" s="83"/>
      <c r="E89" s="83"/>
      <c r="F89" s="83"/>
      <c r="G89" s="20" t="s">
        <v>26</v>
      </c>
      <c r="H89" s="21">
        <f>H85+H86+H87</f>
        <v>147509.67000000001</v>
      </c>
      <c r="K89" s="40"/>
      <c r="L89" s="2"/>
      <c r="N89" s="2"/>
    </row>
    <row r="90" spans="1:18" s="58" customFormat="1" ht="15.75">
      <c r="A90" s="86"/>
      <c r="B90" s="86"/>
      <c r="C90" s="86"/>
      <c r="D90" s="86"/>
      <c r="E90" s="86"/>
      <c r="F90" s="86"/>
      <c r="G90" s="86"/>
      <c r="H90" s="86"/>
      <c r="K90" s="57"/>
      <c r="L90" s="56"/>
      <c r="N90" s="56"/>
    </row>
    <row r="91" spans="1:18" s="48" customFormat="1" ht="29.25" customHeight="1">
      <c r="A91" s="87" t="s">
        <v>132</v>
      </c>
      <c r="B91" s="87"/>
      <c r="C91" s="87"/>
      <c r="D91" s="87"/>
      <c r="E91" s="87"/>
      <c r="F91" s="87"/>
      <c r="G91" s="87"/>
      <c r="H91" s="87"/>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56" customFormat="1" ht="21.6" hidden="1" customHeight="1">
      <c r="A93" s="53">
        <v>0</v>
      </c>
      <c r="B93" s="54" t="s">
        <v>18</v>
      </c>
      <c r="C93" s="77" t="s">
        <v>28</v>
      </c>
      <c r="D93" s="78"/>
      <c r="E93" s="78"/>
      <c r="F93" s="79"/>
      <c r="G93" s="55">
        <f>R84</f>
        <v>220</v>
      </c>
      <c r="H93" s="17">
        <f t="shared" ref="H93:H95" si="21">G93*A93</f>
        <v>0</v>
      </c>
      <c r="I93" s="48"/>
      <c r="J93" s="56">
        <v>12</v>
      </c>
      <c r="K93" s="57">
        <v>0.1</v>
      </c>
      <c r="L93" s="56">
        <f t="shared" ref="L93:L95" si="22">J93*K93</f>
        <v>1.2000000000000002</v>
      </c>
      <c r="N93" s="56">
        <f t="shared" ref="N93:N95" si="23">J93+L93</f>
        <v>13.2</v>
      </c>
    </row>
    <row r="94" spans="1:18" s="56" customFormat="1" ht="21.6" customHeight="1">
      <c r="A94" s="53">
        <f>N94</f>
        <v>34.271999999999998</v>
      </c>
      <c r="B94" s="54" t="s">
        <v>18</v>
      </c>
      <c r="C94" s="80" t="s">
        <v>133</v>
      </c>
      <c r="D94" s="80"/>
      <c r="E94" s="80"/>
      <c r="F94" s="80"/>
      <c r="G94" s="55">
        <f>R84</f>
        <v>220</v>
      </c>
      <c r="H94" s="17">
        <f t="shared" si="21"/>
        <v>7539.8399999999992</v>
      </c>
      <c r="I94" s="48"/>
      <c r="J94" s="2">
        <v>32.64</v>
      </c>
      <c r="K94" s="57">
        <v>0.05</v>
      </c>
      <c r="L94" s="56">
        <f t="shared" si="22"/>
        <v>1.6320000000000001</v>
      </c>
      <c r="N94" s="56">
        <f t="shared" si="23"/>
        <v>34.271999999999998</v>
      </c>
    </row>
    <row r="95" spans="1:18" s="56" customFormat="1" ht="21.6" customHeight="1">
      <c r="A95" s="65">
        <f t="shared" ref="A95" si="24">N95</f>
        <v>11.55</v>
      </c>
      <c r="B95" s="54" t="s">
        <v>18</v>
      </c>
      <c r="C95" s="106" t="s">
        <v>30</v>
      </c>
      <c r="D95" s="106"/>
      <c r="E95" s="106"/>
      <c r="F95" s="106"/>
      <c r="G95" s="66">
        <f>R84</f>
        <v>220</v>
      </c>
      <c r="H95" s="17">
        <f t="shared" si="21"/>
        <v>2541</v>
      </c>
      <c r="I95" s="48"/>
      <c r="J95" s="2">
        <v>10.5</v>
      </c>
      <c r="K95" s="57">
        <v>0.1</v>
      </c>
      <c r="L95" s="56">
        <f t="shared" si="22"/>
        <v>1.05</v>
      </c>
      <c r="N95" s="56">
        <f t="shared" si="23"/>
        <v>11.55</v>
      </c>
    </row>
    <row r="96" spans="1:18" s="58" customFormat="1" ht="15.75">
      <c r="A96" s="19">
        <f>A94+A95</f>
        <v>45.822000000000003</v>
      </c>
      <c r="B96" s="20" t="s">
        <v>25</v>
      </c>
      <c r="C96" s="83"/>
      <c r="D96" s="83"/>
      <c r="E96" s="83"/>
      <c r="F96" s="83"/>
      <c r="G96" s="20" t="s">
        <v>26</v>
      </c>
      <c r="H96" s="22">
        <f>H94+H95</f>
        <v>10080.84</v>
      </c>
      <c r="I96" s="48"/>
      <c r="J96" s="56">
        <f>SUM(J93:J95)</f>
        <v>55.14</v>
      </c>
      <c r="K96" s="57"/>
      <c r="L96" s="56"/>
      <c r="M96" s="56"/>
      <c r="N96" s="56"/>
    </row>
    <row r="97" spans="1:15" s="48" customFormat="1">
      <c r="A97" s="100"/>
      <c r="B97" s="101"/>
      <c r="C97" s="101"/>
      <c r="D97" s="101"/>
      <c r="E97" s="101"/>
      <c r="F97" s="101"/>
      <c r="G97" s="101"/>
      <c r="H97" s="102"/>
    </row>
    <row r="98" spans="1:15" s="48" customFormat="1" ht="18">
      <c r="A98" s="74" t="s">
        <v>136</v>
      </c>
      <c r="B98" s="74"/>
      <c r="C98" s="74"/>
      <c r="D98" s="74"/>
      <c r="E98" s="74"/>
      <c r="F98" s="74"/>
      <c r="G98" s="74"/>
      <c r="H98" s="74"/>
      <c r="J98" s="56"/>
      <c r="K98" s="57"/>
      <c r="L98" s="56"/>
      <c r="N98" s="56"/>
    </row>
    <row r="99" spans="1:15" s="52" customFormat="1" ht="15">
      <c r="A99" s="73" t="s">
        <v>10</v>
      </c>
      <c r="B99" s="50" t="s">
        <v>11</v>
      </c>
      <c r="C99" s="75" t="s">
        <v>12</v>
      </c>
      <c r="D99" s="75"/>
      <c r="E99" s="75"/>
      <c r="F99" s="75"/>
      <c r="G99" s="51" t="s">
        <v>13</v>
      </c>
      <c r="H99" s="51" t="s">
        <v>9</v>
      </c>
      <c r="I99" s="48"/>
      <c r="J99" s="56"/>
      <c r="K99" s="57"/>
      <c r="L99" s="56"/>
      <c r="N99" s="56"/>
    </row>
    <row r="100" spans="1:15" s="2" customFormat="1" ht="30.75" customHeight="1">
      <c r="A100" s="68">
        <f>N100</f>
        <v>43.05</v>
      </c>
      <c r="B100" s="15" t="s">
        <v>18</v>
      </c>
      <c r="C100" s="76" t="s">
        <v>135</v>
      </c>
      <c r="D100" s="76"/>
      <c r="E100" s="76"/>
      <c r="F100" s="76"/>
      <c r="G100" s="16">
        <f>R84</f>
        <v>220</v>
      </c>
      <c r="H100" s="17">
        <f>G100*A100</f>
        <v>9471</v>
      </c>
      <c r="I100" s="1"/>
      <c r="J100" s="2">
        <v>41</v>
      </c>
      <c r="K100" s="40">
        <v>0.05</v>
      </c>
      <c r="L100" s="2">
        <f t="shared" ref="L100" si="25">J100*K100</f>
        <v>2.0500000000000003</v>
      </c>
      <c r="N100" s="2">
        <f t="shared" ref="N100" si="26">J100+L100</f>
        <v>43.05</v>
      </c>
    </row>
    <row r="101" spans="1:15" s="58" customFormat="1" ht="15.75">
      <c r="A101" s="19">
        <f>SUM(A100:A100)</f>
        <v>43.05</v>
      </c>
      <c r="B101" s="20" t="s">
        <v>25</v>
      </c>
      <c r="C101" s="83"/>
      <c r="D101" s="83"/>
      <c r="E101" s="83"/>
      <c r="F101" s="83"/>
      <c r="G101" s="20" t="s">
        <v>26</v>
      </c>
      <c r="H101" s="22">
        <f>H100</f>
        <v>9471</v>
      </c>
      <c r="I101" s="48"/>
      <c r="J101" s="56" t="e">
        <f>J100+#REF!+#REF!+#REF!+#REF!+#REF!+#REF!+#REF!+#REF!+#REF!+#REF!+#REF!</f>
        <v>#REF!</v>
      </c>
      <c r="K101" s="57"/>
      <c r="L101" s="56"/>
      <c r="M101" s="56"/>
      <c r="N101" s="56"/>
    </row>
    <row r="102" spans="1:15" s="48" customFormat="1">
      <c r="A102" s="100"/>
      <c r="B102" s="101"/>
      <c r="C102" s="101"/>
      <c r="D102" s="101"/>
      <c r="E102" s="101"/>
      <c r="F102" s="101"/>
      <c r="G102" s="101"/>
      <c r="H102" s="102"/>
    </row>
    <row r="103" spans="1:15" s="48" customFormat="1" ht="18.75" customHeight="1">
      <c r="A103" s="60">
        <f>A101+A96+A89</f>
        <v>759.37049999999988</v>
      </c>
      <c r="B103" s="71" t="s">
        <v>25</v>
      </c>
      <c r="C103" s="107" t="s">
        <v>134</v>
      </c>
      <c r="D103" s="107"/>
      <c r="E103" s="107"/>
      <c r="F103" s="107"/>
      <c r="G103" s="71" t="s">
        <v>26</v>
      </c>
      <c r="H103" s="61">
        <f>H89+H96+H101</f>
        <v>167061.51</v>
      </c>
      <c r="K103" s="62"/>
    </row>
    <row r="104" spans="1:15" s="48" customFormat="1" ht="15.75" customHeight="1">
      <c r="A104" s="100"/>
      <c r="B104" s="101"/>
      <c r="C104" s="101"/>
      <c r="D104" s="101"/>
      <c r="E104" s="101"/>
      <c r="F104" s="101"/>
      <c r="G104" s="101"/>
      <c r="H104" s="102"/>
    </row>
    <row r="105" spans="1:15" s="48" customFormat="1" ht="18" hidden="1">
      <c r="A105" s="74" t="s">
        <v>33</v>
      </c>
      <c r="B105" s="74"/>
      <c r="C105" s="74"/>
      <c r="D105" s="74"/>
      <c r="E105" s="74"/>
      <c r="F105" s="74"/>
      <c r="G105" s="74"/>
      <c r="H105" s="74"/>
      <c r="J105" s="56"/>
      <c r="K105" s="57"/>
      <c r="L105" s="56">
        <v>90</v>
      </c>
      <c r="M105" s="48" t="e">
        <f>#REF!/L105</f>
        <v>#REF!</v>
      </c>
      <c r="N105" s="56">
        <v>30</v>
      </c>
      <c r="O105" s="48" t="e">
        <f>N105*M105</f>
        <v>#REF!</v>
      </c>
    </row>
    <row r="106" spans="1:15" s="52" customFormat="1" ht="15" hidden="1">
      <c r="A106" s="73" t="s">
        <v>10</v>
      </c>
      <c r="B106" s="50" t="s">
        <v>11</v>
      </c>
      <c r="C106" s="75" t="s">
        <v>12</v>
      </c>
      <c r="D106" s="75"/>
      <c r="E106" s="75"/>
      <c r="F106" s="75"/>
      <c r="G106" s="51" t="s">
        <v>13</v>
      </c>
      <c r="H106" s="51" t="s">
        <v>9</v>
      </c>
      <c r="I106" s="48"/>
      <c r="J106" s="56"/>
      <c r="K106" s="57"/>
      <c r="L106" s="56"/>
      <c r="N106" s="56"/>
    </row>
    <row r="107" spans="1:15" s="2" customFormat="1" ht="22.5" hidden="1" customHeight="1">
      <c r="A107" s="68">
        <v>0</v>
      </c>
      <c r="B107" s="15" t="s">
        <v>18</v>
      </c>
      <c r="C107" s="76" t="s">
        <v>34</v>
      </c>
      <c r="D107" s="76"/>
      <c r="E107" s="76"/>
      <c r="F107" s="76"/>
      <c r="G107" s="16" t="e">
        <f>#REF!</f>
        <v>#REF!</v>
      </c>
      <c r="H107" s="17" t="e">
        <f>G107*A107</f>
        <v>#REF!</v>
      </c>
      <c r="I107" s="1"/>
      <c r="J107" s="2">
        <v>25.55</v>
      </c>
      <c r="K107" s="40">
        <v>0.05</v>
      </c>
      <c r="L107" s="2">
        <f t="shared" ref="L107" si="27">J107*K107</f>
        <v>1.2775000000000001</v>
      </c>
      <c r="N107" s="2">
        <f t="shared" ref="N107" si="28">J107+L107</f>
        <v>26.827500000000001</v>
      </c>
    </row>
    <row r="108" spans="1:15" s="58" customFormat="1" ht="15.75" hidden="1">
      <c r="A108" s="19">
        <f>SUM(A107:A107)</f>
        <v>0</v>
      </c>
      <c r="B108" s="20" t="s">
        <v>25</v>
      </c>
      <c r="C108" s="83"/>
      <c r="D108" s="83"/>
      <c r="E108" s="83"/>
      <c r="F108" s="83"/>
      <c r="G108" s="20" t="s">
        <v>26</v>
      </c>
      <c r="H108" s="22" t="e">
        <f>H107</f>
        <v>#REF!</v>
      </c>
      <c r="I108" s="48"/>
      <c r="J108" s="56" t="e">
        <f>J107+#REF!+#REF!+#REF!+#REF!+J26+#REF!+J24+J23+J17+J16+J15</f>
        <v>#REF!</v>
      </c>
      <c r="K108" s="57"/>
      <c r="L108" s="56"/>
      <c r="M108" s="56"/>
      <c r="N108" s="56"/>
    </row>
    <row r="109" spans="1:15" s="48" customFormat="1" ht="15.75" hidden="1" customHeight="1">
      <c r="A109" s="100"/>
      <c r="B109" s="101"/>
      <c r="C109" s="101"/>
      <c r="D109" s="101"/>
      <c r="E109" s="101"/>
      <c r="F109" s="101"/>
      <c r="G109" s="101"/>
      <c r="H109" s="102"/>
    </row>
    <row r="110" spans="1:15" s="48" customFormat="1" ht="21.75" customHeight="1">
      <c r="A110" s="60">
        <f>A103+A81+A58+A35</f>
        <v>3009.7649999999994</v>
      </c>
      <c r="B110" s="71" t="s">
        <v>25</v>
      </c>
      <c r="C110" s="107" t="s">
        <v>92</v>
      </c>
      <c r="D110" s="107"/>
      <c r="E110" s="107"/>
      <c r="F110" s="107"/>
      <c r="G110" s="71" t="s">
        <v>26</v>
      </c>
      <c r="H110" s="61">
        <f>H103+H81+H58+H35</f>
        <v>669708.30000000016</v>
      </c>
      <c r="K110" s="62"/>
    </row>
    <row r="111" spans="1:15" s="48" customFormat="1" ht="21.75" customHeight="1">
      <c r="A111" s="108"/>
      <c r="B111" s="108"/>
      <c r="C111" s="108"/>
      <c r="D111" s="108"/>
      <c r="E111" s="108"/>
      <c r="F111" s="108"/>
      <c r="G111" s="108"/>
      <c r="H111" s="108"/>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38</v>
      </c>
      <c r="D114" s="129"/>
      <c r="E114" s="129"/>
      <c r="F114" s="130"/>
      <c r="G114" s="24">
        <v>360</v>
      </c>
      <c r="H114" s="25">
        <f>A114*G114</f>
        <v>39600</v>
      </c>
    </row>
    <row r="115" spans="1:12" s="1" customFormat="1" ht="38.450000000000003" customHeight="1">
      <c r="A115" s="23">
        <v>75</v>
      </c>
      <c r="B115" s="23" t="s">
        <v>22</v>
      </c>
      <c r="C115" s="131" t="s">
        <v>39</v>
      </c>
      <c r="D115" s="131"/>
      <c r="E115" s="131"/>
      <c r="F115" s="131"/>
      <c r="G115" s="24">
        <v>180</v>
      </c>
      <c r="H115" s="25">
        <f>A115*G115</f>
        <v>13500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93</v>
      </c>
      <c r="D117" s="107"/>
      <c r="E117" s="107"/>
      <c r="F117" s="107"/>
      <c r="G117" s="27" t="s">
        <v>43</v>
      </c>
      <c r="H117" s="28">
        <f>H114+H115+H116</f>
        <v>62100</v>
      </c>
    </row>
    <row r="118" spans="1:12" s="48" customFormat="1">
      <c r="A118" s="108"/>
      <c r="B118" s="108"/>
      <c r="C118" s="108"/>
      <c r="D118" s="108"/>
      <c r="E118" s="108"/>
      <c r="F118" s="108"/>
      <c r="G118" s="108"/>
      <c r="H118" s="108"/>
      <c r="J118" s="48" t="e">
        <f>#REF!-#REF!-#REF!</f>
        <v>#REF!</v>
      </c>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38</v>
      </c>
      <c r="D121" s="129"/>
      <c r="E121" s="129"/>
      <c r="F121" s="130"/>
      <c r="G121" s="24">
        <v>360</v>
      </c>
      <c r="H121" s="25">
        <f>A121*G121</f>
        <v>39600</v>
      </c>
    </row>
    <row r="122" spans="1:12" s="1" customFormat="1" ht="38.450000000000003" customHeight="1">
      <c r="A122" s="23">
        <v>75</v>
      </c>
      <c r="B122" s="23" t="s">
        <v>22</v>
      </c>
      <c r="C122" s="131" t="s">
        <v>39</v>
      </c>
      <c r="D122" s="131"/>
      <c r="E122" s="131"/>
      <c r="F122" s="131"/>
      <c r="G122" s="24">
        <v>180</v>
      </c>
      <c r="H122" s="25">
        <f>A122*G122</f>
        <v>13500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137</v>
      </c>
      <c r="D124" s="107"/>
      <c r="E124" s="107"/>
      <c r="F124" s="107"/>
      <c r="G124" s="27" t="s">
        <v>43</v>
      </c>
      <c r="H124" s="28">
        <f>H121+H122+H123</f>
        <v>62100</v>
      </c>
    </row>
    <row r="125" spans="1:12" s="48" customFormat="1">
      <c r="A125" s="100"/>
      <c r="B125" s="101"/>
      <c r="C125" s="101"/>
      <c r="D125" s="101"/>
      <c r="E125" s="101"/>
      <c r="F125" s="101"/>
      <c r="G125" s="101"/>
      <c r="H125" s="102"/>
    </row>
    <row r="126" spans="1:12" s="1" customFormat="1" ht="18">
      <c r="A126" s="109" t="s">
        <v>36</v>
      </c>
      <c r="B126" s="109"/>
      <c r="C126" s="109"/>
      <c r="D126" s="109"/>
      <c r="E126" s="109"/>
      <c r="F126" s="109"/>
      <c r="G126" s="109"/>
      <c r="H126" s="109"/>
    </row>
    <row r="127" spans="1:12" s="1" customFormat="1" ht="15">
      <c r="A127" s="72" t="s">
        <v>10</v>
      </c>
      <c r="B127" s="12" t="s">
        <v>11</v>
      </c>
      <c r="C127" s="110" t="s">
        <v>37</v>
      </c>
      <c r="D127" s="110"/>
      <c r="E127" s="110"/>
      <c r="F127" s="110"/>
      <c r="G127" s="13" t="s">
        <v>13</v>
      </c>
      <c r="H127" s="13" t="s">
        <v>9</v>
      </c>
      <c r="J127" s="1">
        <v>1700</v>
      </c>
      <c r="K127" s="1">
        <f>J127/A129</f>
        <v>22.666666666666668</v>
      </c>
    </row>
    <row r="128" spans="1:12" s="1" customFormat="1" ht="53.1" customHeight="1">
      <c r="A128" s="23">
        <v>110</v>
      </c>
      <c r="B128" s="23" t="s">
        <v>22</v>
      </c>
      <c r="C128" s="128" t="s">
        <v>38</v>
      </c>
      <c r="D128" s="129"/>
      <c r="E128" s="129"/>
      <c r="F128" s="130"/>
      <c r="G128" s="24">
        <v>360</v>
      </c>
      <c r="H128" s="25">
        <f>A128*G128</f>
        <v>39600</v>
      </c>
    </row>
    <row r="129" spans="1:12" s="1" customFormat="1" ht="38.450000000000003" customHeight="1">
      <c r="A129" s="23">
        <v>75</v>
      </c>
      <c r="B129" s="23" t="s">
        <v>22</v>
      </c>
      <c r="C129" s="131" t="s">
        <v>39</v>
      </c>
      <c r="D129" s="131"/>
      <c r="E129" s="131"/>
      <c r="F129" s="131"/>
      <c r="G129" s="24">
        <v>180</v>
      </c>
      <c r="H129" s="25">
        <f>A129*G129</f>
        <v>13500</v>
      </c>
      <c r="J129"/>
      <c r="L129"/>
    </row>
    <row r="130" spans="1:12" s="1" customFormat="1" ht="42.95" customHeight="1">
      <c r="A130" s="15">
        <v>1</v>
      </c>
      <c r="B130" s="15" t="s">
        <v>40</v>
      </c>
      <c r="C130" s="132" t="s">
        <v>41</v>
      </c>
      <c r="D130" s="133"/>
      <c r="E130" s="133"/>
      <c r="F130" s="133"/>
      <c r="G130" s="24">
        <v>9000</v>
      </c>
      <c r="H130" s="25">
        <f>A130*G130</f>
        <v>9000</v>
      </c>
      <c r="J130"/>
      <c r="L130"/>
    </row>
    <row r="131" spans="1:12" s="48" customFormat="1" ht="15.75">
      <c r="A131" s="71"/>
      <c r="B131" s="71" t="s">
        <v>17</v>
      </c>
      <c r="C131" s="107" t="s">
        <v>138</v>
      </c>
      <c r="D131" s="107"/>
      <c r="E131" s="107"/>
      <c r="F131" s="107"/>
      <c r="G131" s="27" t="s">
        <v>43</v>
      </c>
      <c r="H131" s="28">
        <f>H128+H129+H130</f>
        <v>62100</v>
      </c>
    </row>
    <row r="132" spans="1:12" s="48" customFormat="1">
      <c r="A132" s="100"/>
      <c r="B132" s="101"/>
      <c r="C132" s="101"/>
      <c r="D132" s="101"/>
      <c r="E132" s="101"/>
      <c r="F132" s="101"/>
      <c r="G132" s="101"/>
      <c r="H132" s="102"/>
    </row>
    <row r="133" spans="1:12" s="1" customFormat="1" ht="18">
      <c r="A133" s="109" t="s">
        <v>36</v>
      </c>
      <c r="B133" s="109"/>
      <c r="C133" s="109"/>
      <c r="D133" s="109"/>
      <c r="E133" s="109"/>
      <c r="F133" s="109"/>
      <c r="G133" s="109"/>
      <c r="H133" s="109"/>
    </row>
    <row r="134" spans="1:12" s="1" customFormat="1" ht="15">
      <c r="A134" s="72" t="s">
        <v>10</v>
      </c>
      <c r="B134" s="12" t="s">
        <v>11</v>
      </c>
      <c r="C134" s="110" t="s">
        <v>37</v>
      </c>
      <c r="D134" s="110"/>
      <c r="E134" s="110"/>
      <c r="F134" s="110"/>
      <c r="G134" s="13" t="s">
        <v>13</v>
      </c>
      <c r="H134" s="13" t="s">
        <v>9</v>
      </c>
      <c r="J134" s="1">
        <v>1700</v>
      </c>
      <c r="K134" s="1">
        <f>J134/A135</f>
        <v>22.666666666666668</v>
      </c>
    </row>
    <row r="135" spans="1:12" s="1" customFormat="1" ht="38.450000000000003" customHeight="1">
      <c r="A135" s="23">
        <v>75</v>
      </c>
      <c r="B135" s="23" t="s">
        <v>22</v>
      </c>
      <c r="C135" s="131" t="s">
        <v>39</v>
      </c>
      <c r="D135" s="131"/>
      <c r="E135" s="131"/>
      <c r="F135" s="131"/>
      <c r="G135" s="24">
        <v>180</v>
      </c>
      <c r="H135" s="25">
        <f>A135*G135</f>
        <v>13500</v>
      </c>
      <c r="J135"/>
      <c r="L135"/>
    </row>
    <row r="136" spans="1:12" s="1" customFormat="1" ht="42.95" customHeight="1">
      <c r="A136" s="15">
        <v>1</v>
      </c>
      <c r="B136" s="15" t="s">
        <v>40</v>
      </c>
      <c r="C136" s="132" t="s">
        <v>41</v>
      </c>
      <c r="D136" s="133"/>
      <c r="E136" s="133"/>
      <c r="F136" s="133"/>
      <c r="G136" s="24">
        <v>9000</v>
      </c>
      <c r="H136" s="25">
        <f>A136*G136</f>
        <v>9000</v>
      </c>
      <c r="J136"/>
      <c r="L136"/>
    </row>
    <row r="137" spans="1:12" s="48" customFormat="1" ht="15.75">
      <c r="A137" s="71"/>
      <c r="B137" s="71" t="s">
        <v>17</v>
      </c>
      <c r="C137" s="107" t="s">
        <v>94</v>
      </c>
      <c r="D137" s="107"/>
      <c r="E137" s="107"/>
      <c r="F137" s="107"/>
      <c r="G137" s="27" t="s">
        <v>43</v>
      </c>
      <c r="H137" s="28">
        <f>H135+H136</f>
        <v>22500</v>
      </c>
    </row>
    <row r="138" spans="1:12" s="48" customFormat="1">
      <c r="A138" s="100"/>
      <c r="B138" s="101"/>
      <c r="C138" s="101"/>
      <c r="D138" s="101"/>
      <c r="E138" s="101"/>
      <c r="F138" s="101"/>
      <c r="G138" s="101"/>
      <c r="H138" s="102"/>
    </row>
    <row r="139" spans="1:12" s="48" customFormat="1" ht="21.75" customHeight="1">
      <c r="A139" s="60"/>
      <c r="B139" s="71"/>
      <c r="C139" s="107" t="s">
        <v>95</v>
      </c>
      <c r="D139" s="107"/>
      <c r="E139" s="107"/>
      <c r="F139" s="107"/>
      <c r="G139" s="71" t="s">
        <v>26</v>
      </c>
      <c r="H139" s="61">
        <f>H137+H131+H124+H117</f>
        <v>208800</v>
      </c>
      <c r="K139" s="62"/>
    </row>
    <row r="140" spans="1:12" s="48" customFormat="1">
      <c r="A140" s="100"/>
      <c r="B140" s="101"/>
      <c r="C140" s="101"/>
      <c r="D140" s="101"/>
      <c r="E140" s="101"/>
      <c r="F140" s="101"/>
      <c r="G140" s="101"/>
      <c r="H140" s="102"/>
    </row>
    <row r="141" spans="1:12" s="48" customFormat="1" ht="15" customHeight="1">
      <c r="A141" s="111" t="s">
        <v>44</v>
      </c>
      <c r="B141" s="111"/>
      <c r="C141" s="111"/>
      <c r="D141" s="111"/>
      <c r="E141" s="111"/>
      <c r="F141" s="111"/>
      <c r="G141" s="111"/>
      <c r="H141" s="111"/>
    </row>
    <row r="142" spans="1:12" s="48" customFormat="1" ht="388.5" customHeight="1">
      <c r="A142" s="112"/>
      <c r="B142" s="113"/>
      <c r="C142" s="113"/>
      <c r="D142" s="113"/>
      <c r="E142" s="113"/>
      <c r="F142" s="113"/>
      <c r="G142" s="113"/>
      <c r="H142" s="114"/>
      <c r="J142" s="63"/>
    </row>
    <row r="143" spans="1:12" s="48" customFormat="1" ht="41.25" customHeight="1">
      <c r="A143" s="115"/>
      <c r="B143" s="116"/>
      <c r="C143" s="116"/>
      <c r="D143" s="116"/>
      <c r="E143" s="116"/>
      <c r="F143" s="116"/>
      <c r="G143" s="116"/>
      <c r="H143" s="117"/>
    </row>
    <row r="144" spans="1:12" ht="28.15" customHeight="1">
      <c r="A144" s="118" t="s">
        <v>45</v>
      </c>
      <c r="B144" s="119"/>
      <c r="C144" s="119"/>
      <c r="D144" s="119"/>
      <c r="E144" s="119"/>
      <c r="F144" s="120"/>
      <c r="G144" s="29" t="s">
        <v>43</v>
      </c>
      <c r="H144" s="30">
        <f>H110+H139</f>
        <v>878508.30000000016</v>
      </c>
      <c r="J144" s="41"/>
    </row>
    <row r="145" spans="1:15" ht="28.15" hidden="1" customHeight="1">
      <c r="A145" s="121"/>
      <c r="B145" s="122"/>
      <c r="C145" s="122"/>
      <c r="D145" s="122"/>
      <c r="E145" s="122"/>
      <c r="F145" s="123"/>
      <c r="G145" s="29" t="s">
        <v>46</v>
      </c>
      <c r="H145" s="30">
        <v>0</v>
      </c>
      <c r="J145" s="42"/>
    </row>
    <row r="146" spans="1:15" ht="23.25" customHeight="1">
      <c r="A146" s="124"/>
      <c r="B146" s="125"/>
      <c r="C146" s="125"/>
      <c r="D146" s="125"/>
      <c r="E146" s="125"/>
      <c r="F146" s="126"/>
      <c r="G146" s="31" t="s">
        <v>47</v>
      </c>
      <c r="H146" s="32">
        <f>H144-H145</f>
        <v>878508.30000000016</v>
      </c>
      <c r="J146" s="42"/>
    </row>
    <row r="147" spans="1:15" ht="21.95" customHeight="1">
      <c r="A147" s="74" t="s">
        <v>48</v>
      </c>
      <c r="B147" s="74"/>
      <c r="C147" s="127" t="s">
        <v>146</v>
      </c>
      <c r="D147" s="127"/>
      <c r="E147" s="127"/>
      <c r="F147" s="127"/>
      <c r="G147" s="33" t="s">
        <v>49</v>
      </c>
      <c r="H147" s="34">
        <f>9000*4</f>
        <v>36000</v>
      </c>
      <c r="I147" s="4">
        <v>9</v>
      </c>
      <c r="J147" s="43"/>
    </row>
    <row r="148" spans="1:15" ht="21.95" customHeight="1">
      <c r="A148" s="74"/>
      <c r="B148" s="74"/>
      <c r="C148" s="127"/>
      <c r="D148" s="127"/>
      <c r="E148" s="127"/>
      <c r="F148" s="127"/>
      <c r="G148" s="31" t="s">
        <v>50</v>
      </c>
      <c r="H148" s="30">
        <f>H146+H147</f>
        <v>914508.30000000016</v>
      </c>
      <c r="J148" s="42"/>
    </row>
    <row r="149" spans="1:15" ht="21.95" customHeight="1">
      <c r="A149" s="74"/>
      <c r="B149" s="74"/>
      <c r="C149" s="127"/>
      <c r="D149" s="127"/>
      <c r="E149" s="127"/>
      <c r="F149" s="127"/>
      <c r="G149" s="33" t="s">
        <v>51</v>
      </c>
      <c r="H149" s="34">
        <f>H148*0.16</f>
        <v>146321.32800000004</v>
      </c>
      <c r="J149" s="43">
        <v>19</v>
      </c>
      <c r="K149" s="4">
        <f>H144*J149</f>
        <v>16691657.700000003</v>
      </c>
      <c r="O149" s="44">
        <f>H150*4</f>
        <v>4243318.512000001</v>
      </c>
    </row>
    <row r="150" spans="1:15" ht="21.95" customHeight="1">
      <c r="A150" s="74"/>
      <c r="B150" s="74"/>
      <c r="C150" s="127"/>
      <c r="D150" s="127"/>
      <c r="E150" s="127"/>
      <c r="F150" s="127"/>
      <c r="G150" s="35" t="s">
        <v>52</v>
      </c>
      <c r="H150" s="36">
        <f>H148+H149</f>
        <v>1060829.6280000003</v>
      </c>
      <c r="I150" s="44">
        <f>H150/A110</f>
        <v>352.46261020378682</v>
      </c>
      <c r="J150" s="45"/>
    </row>
    <row r="151" spans="1:15">
      <c r="A151" s="88"/>
      <c r="B151" s="88"/>
      <c r="C151" s="88"/>
      <c r="D151" s="88"/>
      <c r="E151" s="88"/>
      <c r="F151" s="88"/>
      <c r="G151" s="88"/>
      <c r="H151" s="88"/>
    </row>
    <row r="152" spans="1:15" ht="31.15" customHeight="1">
      <c r="A152" s="74" t="s">
        <v>53</v>
      </c>
      <c r="B152" s="74"/>
      <c r="C152" s="74"/>
      <c r="D152" s="74"/>
      <c r="E152" s="74"/>
      <c r="F152" s="74"/>
      <c r="G152" s="74"/>
      <c r="H152" s="74"/>
      <c r="J152" s="44"/>
    </row>
    <row r="153" spans="1:15" ht="12" customHeight="1">
      <c r="A153" s="134"/>
      <c r="B153" s="134"/>
      <c r="C153" s="134"/>
      <c r="D153" s="134"/>
      <c r="E153" s="134"/>
      <c r="F153" s="134"/>
      <c r="G153" s="134"/>
      <c r="H153" s="134"/>
      <c r="K153" s="44">
        <f>H146*12</f>
        <v>10542099.600000001</v>
      </c>
    </row>
    <row r="154" spans="1:15" ht="30.75" customHeight="1" thickBot="1">
      <c r="A154" s="135" t="s">
        <v>54</v>
      </c>
      <c r="B154" s="135"/>
      <c r="C154" s="136" t="s">
        <v>55</v>
      </c>
      <c r="D154" s="136"/>
      <c r="E154" s="136"/>
      <c r="F154" s="136"/>
      <c r="G154" s="137" t="s">
        <v>56</v>
      </c>
      <c r="H154" s="137"/>
    </row>
    <row r="155" spans="1:15" ht="19.899999999999999" customHeight="1" thickBot="1">
      <c r="A155" s="138" t="s">
        <v>57</v>
      </c>
      <c r="B155" s="138"/>
      <c r="C155" s="136" t="s">
        <v>58</v>
      </c>
      <c r="D155" s="136"/>
      <c r="E155" s="136"/>
      <c r="F155" s="136"/>
      <c r="G155" s="139"/>
      <c r="H155" s="140"/>
      <c r="K155" s="64">
        <f>H150*3</f>
        <v>3182488.8840000005</v>
      </c>
    </row>
    <row r="156" spans="1:15" ht="27.6" customHeight="1">
      <c r="A156" s="142" t="s">
        <v>59</v>
      </c>
      <c r="B156" s="143"/>
      <c r="C156" s="37" t="s">
        <v>60</v>
      </c>
      <c r="D156" s="148">
        <f>H150*0.6</f>
        <v>636497.77680000011</v>
      </c>
      <c r="E156" s="148"/>
      <c r="F156" s="148"/>
      <c r="G156" s="149"/>
      <c r="H156" s="150"/>
    </row>
    <row r="157" spans="1:15" ht="39" customHeight="1">
      <c r="A157" s="144"/>
      <c r="B157" s="145"/>
      <c r="C157" s="37" t="s">
        <v>98</v>
      </c>
      <c r="D157" s="141">
        <f>H150*0.3</f>
        <v>318248.88840000005</v>
      </c>
      <c r="E157" s="141"/>
      <c r="F157" s="141"/>
      <c r="G157" s="151"/>
      <c r="H157" s="152"/>
      <c r="J157" s="44">
        <f>H150-'[1]CTZ 8T (altura 270.7)'!H66</f>
        <v>822528.27261280036</v>
      </c>
    </row>
    <row r="158" spans="1:15" ht="39" customHeight="1">
      <c r="A158" s="144"/>
      <c r="B158" s="145"/>
      <c r="C158" s="37" t="s">
        <v>99</v>
      </c>
      <c r="D158" s="141">
        <f>H150*0.1</f>
        <v>106082.96280000004</v>
      </c>
      <c r="E158" s="141"/>
      <c r="F158" s="141"/>
      <c r="G158" s="151"/>
      <c r="H158" s="152"/>
      <c r="J158" s="44"/>
    </row>
    <row r="159" spans="1:15" ht="31.5" customHeight="1">
      <c r="A159" s="144"/>
      <c r="B159" s="145"/>
      <c r="C159" s="155" t="s">
        <v>61</v>
      </c>
      <c r="D159" s="157">
        <f>D156+D157+D158</f>
        <v>1060829.6280000003</v>
      </c>
      <c r="E159" s="158"/>
      <c r="F159" s="159"/>
      <c r="G159" s="153"/>
      <c r="H159" s="154"/>
      <c r="J159" s="46"/>
      <c r="M159" s="46">
        <f>D156*8</f>
        <v>5091982.2144000009</v>
      </c>
    </row>
    <row r="160" spans="1:15" ht="5.45" hidden="1" customHeight="1">
      <c r="A160" s="146"/>
      <c r="B160" s="147"/>
      <c r="C160" s="156"/>
      <c r="D160" s="160"/>
      <c r="E160" s="161"/>
      <c r="F160" s="162"/>
      <c r="G160" s="163" t="s">
        <v>62</v>
      </c>
      <c r="H160" s="164"/>
    </row>
    <row r="161" spans="1:12" ht="24.95" customHeight="1">
      <c r="A161" s="172" t="s">
        <v>63</v>
      </c>
      <c r="B161" s="173"/>
      <c r="C161" s="38" t="s">
        <v>100</v>
      </c>
      <c r="D161" s="167"/>
      <c r="E161" s="168"/>
      <c r="F161" s="169"/>
      <c r="G161" s="165" t="s">
        <v>155</v>
      </c>
      <c r="H161" s="166"/>
      <c r="J161" s="38">
        <v>75</v>
      </c>
    </row>
    <row r="162" spans="1:12" ht="24.95" customHeight="1">
      <c r="A162" s="174"/>
      <c r="B162" s="175"/>
      <c r="C162" s="38" t="s">
        <v>101</v>
      </c>
      <c r="D162" s="167"/>
      <c r="E162" s="168"/>
      <c r="F162" s="169"/>
      <c r="G162" s="165" t="s">
        <v>103</v>
      </c>
      <c r="H162" s="166"/>
      <c r="J162" s="38">
        <v>120</v>
      </c>
      <c r="L162" s="46"/>
    </row>
    <row r="163" spans="1:12" ht="24.95" customHeight="1">
      <c r="A163" s="174"/>
      <c r="B163" s="175"/>
      <c r="C163" s="38" t="s">
        <v>102</v>
      </c>
      <c r="D163" s="167"/>
      <c r="E163" s="168"/>
      <c r="F163" s="169"/>
      <c r="G163" s="165" t="s">
        <v>156</v>
      </c>
      <c r="H163" s="166"/>
      <c r="J163" s="38">
        <f t="shared" ref="J163" si="29">J162+15</f>
        <v>135</v>
      </c>
      <c r="L163" s="46"/>
    </row>
    <row r="164" spans="1:12" ht="24.95" customHeight="1">
      <c r="A164" s="174"/>
      <c r="B164" s="175"/>
      <c r="C164" s="38" t="s">
        <v>70</v>
      </c>
      <c r="D164" s="167"/>
      <c r="E164" s="168"/>
      <c r="F164" s="169"/>
      <c r="G164" s="165" t="s">
        <v>157</v>
      </c>
      <c r="H164" s="166"/>
      <c r="J164" s="38">
        <f>J163+15</f>
        <v>150</v>
      </c>
    </row>
    <row r="165" spans="1:12" ht="24.95" hidden="1" customHeight="1">
      <c r="A165" s="174"/>
      <c r="B165" s="175"/>
      <c r="C165" s="38" t="s">
        <v>70</v>
      </c>
      <c r="D165" s="167">
        <f>H150*2</f>
        <v>2121659.2560000005</v>
      </c>
      <c r="E165" s="168"/>
      <c r="F165" s="169"/>
      <c r="G165" s="165" t="s">
        <v>71</v>
      </c>
      <c r="H165" s="166"/>
      <c r="J165" s="47"/>
    </row>
    <row r="166" spans="1:12" ht="24.95" hidden="1" customHeight="1">
      <c r="A166" s="174"/>
      <c r="B166" s="175"/>
      <c r="C166" s="38" t="s">
        <v>72</v>
      </c>
      <c r="D166" s="167">
        <f>H150*2</f>
        <v>2121659.2560000005</v>
      </c>
      <c r="E166" s="168"/>
      <c r="F166" s="169"/>
      <c r="G166" s="165" t="s">
        <v>71</v>
      </c>
      <c r="H166" s="166"/>
      <c r="J166" s="47"/>
    </row>
    <row r="167" spans="1:12" ht="24.95" hidden="1" customHeight="1">
      <c r="A167" s="176"/>
      <c r="B167" s="177"/>
      <c r="C167" s="38" t="s">
        <v>73</v>
      </c>
      <c r="D167" s="167">
        <f>H150*3</f>
        <v>3182488.8840000005</v>
      </c>
      <c r="E167" s="168"/>
      <c r="F167" s="169"/>
      <c r="G167" s="165" t="s">
        <v>74</v>
      </c>
      <c r="H167" s="166"/>
      <c r="J167" s="47"/>
    </row>
    <row r="168" spans="1:12" ht="19.149999999999999" customHeight="1">
      <c r="A168" s="135" t="s">
        <v>75</v>
      </c>
      <c r="B168" s="135"/>
      <c r="C168" s="170" t="s">
        <v>76</v>
      </c>
      <c r="D168" s="170"/>
      <c r="E168" s="170"/>
      <c r="F168" s="170"/>
      <c r="G168" s="91"/>
      <c r="H168" s="171"/>
      <c r="J168" s="46">
        <f>SUM(D162:F164)</f>
        <v>0</v>
      </c>
    </row>
    <row r="169" spans="1:12" ht="10.15" customHeight="1">
      <c r="A169" s="88"/>
      <c r="B169" s="88"/>
      <c r="C169" s="88"/>
      <c r="D169" s="88"/>
      <c r="E169" s="88"/>
      <c r="F169" s="88"/>
      <c r="G169" s="189"/>
      <c r="H169" s="189"/>
      <c r="J169" s="46"/>
      <c r="K169" s="46"/>
    </row>
    <row r="170" spans="1:12" ht="117" customHeight="1">
      <c r="A170" s="137" t="s">
        <v>77</v>
      </c>
      <c r="B170" s="137"/>
      <c r="C170" s="190" t="s">
        <v>145</v>
      </c>
      <c r="D170" s="190"/>
      <c r="E170" s="190"/>
      <c r="F170" s="190"/>
      <c r="G170" s="190"/>
      <c r="H170" s="39"/>
      <c r="J170" s="46"/>
    </row>
    <row r="171" spans="1:12" ht="27" customHeight="1">
      <c r="A171" s="137"/>
      <c r="B171" s="137"/>
      <c r="C171" s="190" t="s">
        <v>78</v>
      </c>
      <c r="D171" s="190"/>
      <c r="E171" s="190"/>
      <c r="F171" s="190"/>
      <c r="G171" s="190"/>
      <c r="H171" s="39"/>
    </row>
    <row r="172" spans="1:12" ht="67.150000000000006" customHeight="1">
      <c r="A172" s="137"/>
      <c r="B172" s="137"/>
      <c r="C172" s="190" t="s">
        <v>79</v>
      </c>
      <c r="D172" s="190"/>
      <c r="E172" s="190"/>
      <c r="F172" s="190"/>
      <c r="G172" s="190"/>
      <c r="H172" s="39"/>
    </row>
    <row r="173" spans="1:12" ht="54" customHeight="1">
      <c r="A173" s="137"/>
      <c r="B173" s="137"/>
      <c r="C173" s="190" t="s">
        <v>80</v>
      </c>
      <c r="D173" s="190"/>
      <c r="E173" s="190"/>
      <c r="F173" s="190"/>
      <c r="G173" s="190"/>
      <c r="H173" s="39"/>
    </row>
    <row r="174" spans="1:12" ht="150.75" hidden="1" customHeight="1">
      <c r="A174" s="137"/>
      <c r="B174" s="137"/>
      <c r="C174" s="181" t="s">
        <v>81</v>
      </c>
      <c r="D174" s="182"/>
      <c r="E174" s="182"/>
      <c r="F174" s="182"/>
      <c r="G174" s="183"/>
      <c r="H174" s="39"/>
    </row>
    <row r="175" spans="1:12" ht="30" customHeight="1">
      <c r="A175" s="137"/>
      <c r="B175" s="137"/>
      <c r="C175" s="190" t="s">
        <v>82</v>
      </c>
      <c r="D175" s="190"/>
      <c r="E175" s="190"/>
      <c r="F175" s="190"/>
      <c r="G175" s="190"/>
      <c r="H175" s="39"/>
    </row>
    <row r="176" spans="1:12" ht="51" customHeight="1">
      <c r="A176" s="137"/>
      <c r="B176" s="137"/>
      <c r="C176" s="190" t="s">
        <v>83</v>
      </c>
      <c r="D176" s="190"/>
      <c r="E176" s="190"/>
      <c r="F176" s="190"/>
      <c r="G176" s="190"/>
      <c r="H176" s="39"/>
    </row>
    <row r="177" spans="1:8" ht="64.5" hidden="1" customHeight="1">
      <c r="A177" s="137"/>
      <c r="B177" s="137"/>
      <c r="C177" s="181" t="s">
        <v>84</v>
      </c>
      <c r="D177" s="182"/>
      <c r="E177" s="182"/>
      <c r="F177" s="182"/>
      <c r="G177" s="183"/>
      <c r="H177" s="39"/>
    </row>
    <row r="178" spans="1:8" ht="103.5" customHeight="1">
      <c r="A178" s="137"/>
      <c r="B178" s="137"/>
      <c r="C178" s="184" t="s">
        <v>85</v>
      </c>
      <c r="D178" s="184"/>
      <c r="E178" s="184"/>
      <c r="F178" s="184"/>
      <c r="G178" s="184"/>
      <c r="H178" s="39"/>
    </row>
    <row r="179" spans="1:8" ht="24.95" customHeight="1">
      <c r="A179" s="137"/>
      <c r="B179" s="137"/>
      <c r="C179" s="184" t="s">
        <v>86</v>
      </c>
      <c r="D179" s="184"/>
      <c r="E179" s="184"/>
      <c r="F179" s="184"/>
      <c r="G179" s="184"/>
      <c r="H179" s="39"/>
    </row>
    <row r="180" spans="1:8" ht="7.9" customHeight="1">
      <c r="A180" s="185"/>
      <c r="B180" s="185"/>
      <c r="C180" s="185"/>
      <c r="D180" s="185"/>
      <c r="E180" s="185"/>
      <c r="F180" s="185"/>
      <c r="G180" s="185"/>
      <c r="H180" s="185"/>
    </row>
    <row r="181" spans="1:8" ht="30" customHeight="1">
      <c r="A181" s="185"/>
      <c r="B181" s="185"/>
      <c r="C181" s="185"/>
      <c r="D181" s="185"/>
      <c r="E181" s="185"/>
      <c r="F181" s="185"/>
      <c r="G181" s="185"/>
      <c r="H181" s="185"/>
    </row>
    <row r="182" spans="1:8" ht="30" customHeight="1">
      <c r="A182" s="185"/>
      <c r="B182" s="185"/>
      <c r="C182" s="185"/>
      <c r="D182" s="185"/>
      <c r="E182" s="185"/>
      <c r="F182" s="185"/>
      <c r="G182" s="185"/>
      <c r="H182" s="185"/>
    </row>
    <row r="183" spans="1:8" ht="24" customHeight="1">
      <c r="A183" s="185"/>
      <c r="B183" s="185"/>
      <c r="C183" s="185"/>
      <c r="D183" s="185"/>
      <c r="E183" s="185"/>
      <c r="F183" s="185"/>
      <c r="G183" s="185"/>
      <c r="H183" s="185"/>
    </row>
    <row r="184" spans="1:8" ht="43.9" customHeight="1">
      <c r="A184" s="185"/>
      <c r="B184" s="185"/>
      <c r="C184" s="185"/>
      <c r="D184" s="185"/>
      <c r="E184" s="185"/>
      <c r="F184" s="185"/>
      <c r="G184" s="185"/>
      <c r="H184" s="185"/>
    </row>
    <row r="185" spans="1:8" ht="18">
      <c r="A185" s="186" t="s">
        <v>87</v>
      </c>
      <c r="B185" s="187"/>
      <c r="C185" s="187"/>
      <c r="D185" s="187"/>
      <c r="E185" s="187"/>
      <c r="F185" s="187"/>
      <c r="G185" s="187"/>
      <c r="H185" s="188"/>
    </row>
    <row r="186" spans="1:8">
      <c r="A186" s="178" t="s">
        <v>88</v>
      </c>
      <c r="B186" s="179"/>
      <c r="C186" s="179"/>
      <c r="D186" s="179"/>
      <c r="E186" s="179"/>
      <c r="F186" s="179"/>
      <c r="G186" s="179"/>
      <c r="H186" s="180"/>
    </row>
  </sheetData>
  <mergeCells count="203">
    <mergeCell ref="A181:H184"/>
    <mergeCell ref="A185:H185"/>
    <mergeCell ref="A186:H186"/>
    <mergeCell ref="C175:G175"/>
    <mergeCell ref="C176:G176"/>
    <mergeCell ref="C177:G177"/>
    <mergeCell ref="C178:G178"/>
    <mergeCell ref="C179:G179"/>
    <mergeCell ref="A180:H180"/>
    <mergeCell ref="A168:B168"/>
    <mergeCell ref="C168:F168"/>
    <mergeCell ref="G168:H168"/>
    <mergeCell ref="A169:H169"/>
    <mergeCell ref="A170:B179"/>
    <mergeCell ref="C170:G170"/>
    <mergeCell ref="C171:G171"/>
    <mergeCell ref="C172:G172"/>
    <mergeCell ref="C173:G173"/>
    <mergeCell ref="C174:G174"/>
    <mergeCell ref="D165:F165"/>
    <mergeCell ref="G165:H165"/>
    <mergeCell ref="D166:F166"/>
    <mergeCell ref="G166:H166"/>
    <mergeCell ref="D167:F167"/>
    <mergeCell ref="G167:H167"/>
    <mergeCell ref="G160:H160"/>
    <mergeCell ref="A161:B167"/>
    <mergeCell ref="D161:F161"/>
    <mergeCell ref="G161:H161"/>
    <mergeCell ref="D162:F162"/>
    <mergeCell ref="G162:H162"/>
    <mergeCell ref="D163:F163"/>
    <mergeCell ref="G163:H163"/>
    <mergeCell ref="D164:F164"/>
    <mergeCell ref="G164:H164"/>
    <mergeCell ref="A155:B155"/>
    <mergeCell ref="C155:F155"/>
    <mergeCell ref="G155:H155"/>
    <mergeCell ref="A156:B160"/>
    <mergeCell ref="D156:F156"/>
    <mergeCell ref="G156:H159"/>
    <mergeCell ref="D157:F157"/>
    <mergeCell ref="D158:F158"/>
    <mergeCell ref="C159:C160"/>
    <mergeCell ref="D159:F160"/>
    <mergeCell ref="A147:B150"/>
    <mergeCell ref="C147:F150"/>
    <mergeCell ref="A151:H151"/>
    <mergeCell ref="A152:H152"/>
    <mergeCell ref="A153:H153"/>
    <mergeCell ref="A154:B154"/>
    <mergeCell ref="C154:F154"/>
    <mergeCell ref="G154:H154"/>
    <mergeCell ref="A138:H138"/>
    <mergeCell ref="C139:F139"/>
    <mergeCell ref="A140:H140"/>
    <mergeCell ref="A141:H141"/>
    <mergeCell ref="A142:H143"/>
    <mergeCell ref="A144:F146"/>
    <mergeCell ref="A132:H132"/>
    <mergeCell ref="A133:H133"/>
    <mergeCell ref="C134:F134"/>
    <mergeCell ref="C135:F135"/>
    <mergeCell ref="C136:F136"/>
    <mergeCell ref="C137:F137"/>
    <mergeCell ref="A126:H126"/>
    <mergeCell ref="C127:F127"/>
    <mergeCell ref="C128:F128"/>
    <mergeCell ref="C129:F129"/>
    <mergeCell ref="C130:F130"/>
    <mergeCell ref="C131:F131"/>
    <mergeCell ref="C120:F120"/>
    <mergeCell ref="C121:F121"/>
    <mergeCell ref="C122:F122"/>
    <mergeCell ref="C123:F123"/>
    <mergeCell ref="C124:F124"/>
    <mergeCell ref="A125:H125"/>
    <mergeCell ref="C114:F114"/>
    <mergeCell ref="C115:F115"/>
    <mergeCell ref="C116:F116"/>
    <mergeCell ref="C117:F117"/>
    <mergeCell ref="A118:H118"/>
    <mergeCell ref="A119:H119"/>
    <mergeCell ref="C108:F108"/>
    <mergeCell ref="A109:H109"/>
    <mergeCell ref="C110:F110"/>
    <mergeCell ref="A111:H111"/>
    <mergeCell ref="A112:H112"/>
    <mergeCell ref="C113:F113"/>
    <mergeCell ref="A102:H102"/>
    <mergeCell ref="C103:F103"/>
    <mergeCell ref="A104:H104"/>
    <mergeCell ref="A105:H105"/>
    <mergeCell ref="C106:F106"/>
    <mergeCell ref="C107:F107"/>
    <mergeCell ref="C96:F96"/>
    <mergeCell ref="A97:H97"/>
    <mergeCell ref="A98:H98"/>
    <mergeCell ref="C99:F99"/>
    <mergeCell ref="C100:F100"/>
    <mergeCell ref="C101:F101"/>
    <mergeCell ref="A90:H90"/>
    <mergeCell ref="A91:H91"/>
    <mergeCell ref="C92:F92"/>
    <mergeCell ref="C93:F93"/>
    <mergeCell ref="C94:F94"/>
    <mergeCell ref="C95:F95"/>
    <mergeCell ref="C84:F84"/>
    <mergeCell ref="C85:F85"/>
    <mergeCell ref="C86:F86"/>
    <mergeCell ref="C87:F87"/>
    <mergeCell ref="A88:F88"/>
    <mergeCell ref="C89:F89"/>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45B30008-B0F5-4ADD-93CB-0A9974D580C5}"/>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10" max="7" man="1"/>
    <brk id="139" max="7" man="1"/>
    <brk id="143" max="7" man="1"/>
    <brk id="168" max="7" man="1"/>
    <brk id="186"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91DC3-CE2A-41BB-B344-3DF768EE0207}">
  <dimension ref="A1:R173"/>
  <sheetViews>
    <sheetView view="pageBreakPreview" topLeftCell="A130" zoomScale="85" zoomScaleNormal="80" zoomScaleSheetLayoutView="85" workbookViewId="0">
      <selection activeCell="C134" sqref="C134:F137"/>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151</v>
      </c>
    </row>
    <row r="3" spans="1:18" ht="25.15" customHeight="1">
      <c r="A3" s="93" t="s">
        <v>3</v>
      </c>
      <c r="B3" s="93"/>
      <c r="C3" s="94" t="s">
        <v>4</v>
      </c>
      <c r="D3" s="94"/>
      <c r="E3" s="94"/>
      <c r="F3" s="94"/>
      <c r="G3" s="94"/>
      <c r="H3" s="94"/>
    </row>
    <row r="4" spans="1:18" ht="93.75" customHeight="1">
      <c r="A4" s="93" t="s">
        <v>5</v>
      </c>
      <c r="B4" s="93"/>
      <c r="C4" s="97" t="s">
        <v>152</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270</v>
      </c>
    </row>
    <row r="11" spans="1:18" s="2" customFormat="1" ht="21.95" customHeight="1">
      <c r="A11" s="14">
        <f>N11</f>
        <v>466.30500000000001</v>
      </c>
      <c r="B11" s="15" t="s">
        <v>18</v>
      </c>
      <c r="C11" s="76" t="s">
        <v>19</v>
      </c>
      <c r="D11" s="76"/>
      <c r="E11" s="76"/>
      <c r="F11" s="76"/>
      <c r="G11" s="16">
        <f>R10</f>
        <v>270</v>
      </c>
      <c r="H11" s="17">
        <f>G11*A11</f>
        <v>125902.35</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270</v>
      </c>
      <c r="H12" s="17">
        <f>A12*G12</f>
        <v>37212.209999999992</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270</v>
      </c>
      <c r="H13" s="17">
        <f>A13*G13</f>
        <v>17920.035000000003</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183554.595</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270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270</v>
      </c>
      <c r="H22" s="17">
        <f t="shared" si="1"/>
        <v>9253.4399999999987</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9253.4399999999987</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270</v>
      </c>
      <c r="H27" s="17">
        <f>G27*A27</f>
        <v>7711.47</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7711.47</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270</v>
      </c>
      <c r="H32" s="17">
        <f>G32*A32</f>
        <v>13608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13608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214127.505</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270</v>
      </c>
    </row>
    <row r="39" spans="1:18" s="2" customFormat="1" ht="21.95" customHeight="1">
      <c r="A39" s="14">
        <f>N39</f>
        <v>466.30500000000001</v>
      </c>
      <c r="B39" s="15" t="s">
        <v>18</v>
      </c>
      <c r="C39" s="76" t="s">
        <v>19</v>
      </c>
      <c r="D39" s="76"/>
      <c r="E39" s="76"/>
      <c r="F39" s="76"/>
      <c r="G39" s="16">
        <f>R38</f>
        <v>270</v>
      </c>
      <c r="H39" s="17">
        <f>G39*A39</f>
        <v>125902.35</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270</v>
      </c>
      <c r="H40" s="17">
        <f>A40*G40</f>
        <v>37212.209999999992</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270</v>
      </c>
      <c r="H41" s="17">
        <f>A41*G41</f>
        <v>17920.035000000003</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183554.595</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270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270</v>
      </c>
      <c r="H50" s="17">
        <f t="shared" si="9"/>
        <v>9253.4399999999987</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9253.4399999999987</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270</v>
      </c>
      <c r="H55" s="17">
        <f>G55*A55</f>
        <v>7711.47</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7711.47</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200519.505</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270</v>
      </c>
    </row>
    <row r="62" spans="1:18" s="2" customFormat="1" ht="21.95" customHeight="1">
      <c r="A62" s="14">
        <f>N62</f>
        <v>466.30500000000001</v>
      </c>
      <c r="B62" s="15" t="s">
        <v>18</v>
      </c>
      <c r="C62" s="76" t="s">
        <v>19</v>
      </c>
      <c r="D62" s="76"/>
      <c r="E62" s="76"/>
      <c r="F62" s="76"/>
      <c r="G62" s="16">
        <f>R61</f>
        <v>270</v>
      </c>
      <c r="H62" s="17">
        <f>G62*A62</f>
        <v>125902.35</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270</v>
      </c>
      <c r="H63" s="17">
        <f>A63*G63</f>
        <v>37212.209999999992</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270</v>
      </c>
      <c r="H64" s="17">
        <f>A64*G64</f>
        <v>17920.035000000003</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183554.595</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270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270</v>
      </c>
      <c r="H73" s="17">
        <f t="shared" si="15"/>
        <v>9253.4399999999987</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9253.4399999999987</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270</v>
      </c>
      <c r="H78" s="17">
        <f>G78*A78</f>
        <v>7711.47</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7711.47</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200519.505</v>
      </c>
      <c r="K81" s="62"/>
    </row>
    <row r="82" spans="1:18" s="48" customFormat="1">
      <c r="A82" s="100"/>
      <c r="B82" s="101"/>
      <c r="C82" s="101"/>
      <c r="D82" s="101"/>
      <c r="E82" s="101"/>
      <c r="F82" s="101"/>
      <c r="G82" s="101"/>
      <c r="H82" s="102"/>
    </row>
    <row r="83" spans="1:18" s="48" customFormat="1" ht="18">
      <c r="A83" s="74" t="s">
        <v>153</v>
      </c>
      <c r="B83" s="74"/>
      <c r="C83" s="74"/>
      <c r="D83" s="74"/>
      <c r="E83" s="74"/>
      <c r="F83" s="74"/>
      <c r="G83" s="74"/>
      <c r="H83" s="74"/>
      <c r="R83" s="48" t="s">
        <v>9</v>
      </c>
    </row>
    <row r="84" spans="1:18" s="58" customFormat="1" ht="15.75">
      <c r="A84" s="86"/>
      <c r="B84" s="86"/>
      <c r="C84" s="86"/>
      <c r="D84" s="86"/>
      <c r="E84" s="86"/>
      <c r="F84" s="86"/>
      <c r="G84" s="86"/>
      <c r="H84" s="86"/>
      <c r="K84" s="57"/>
      <c r="L84" s="56"/>
      <c r="N84" s="56"/>
    </row>
    <row r="85" spans="1:18" s="48" customFormat="1" ht="29.25" customHeight="1">
      <c r="A85" s="87" t="s">
        <v>132</v>
      </c>
      <c r="B85" s="87"/>
      <c r="C85" s="87"/>
      <c r="D85" s="87"/>
      <c r="E85" s="87"/>
      <c r="F85" s="87"/>
      <c r="G85" s="87"/>
      <c r="H85" s="87"/>
      <c r="J85" s="56"/>
      <c r="K85" s="57"/>
      <c r="L85" s="56"/>
      <c r="N85" s="56"/>
    </row>
    <row r="86" spans="1:18" s="52" customFormat="1" ht="15">
      <c r="A86" s="73" t="s">
        <v>10</v>
      </c>
      <c r="B86" s="50" t="s">
        <v>11</v>
      </c>
      <c r="C86" s="75" t="s">
        <v>12</v>
      </c>
      <c r="D86" s="75"/>
      <c r="E86" s="75"/>
      <c r="F86" s="75"/>
      <c r="G86" s="51" t="s">
        <v>13</v>
      </c>
      <c r="H86" s="51" t="s">
        <v>9</v>
      </c>
      <c r="I86" s="48"/>
      <c r="J86" s="56"/>
      <c r="K86" s="57"/>
      <c r="L86" s="56"/>
      <c r="N86" s="56"/>
    </row>
    <row r="87" spans="1:18" s="56" customFormat="1" ht="21.6" hidden="1" customHeight="1">
      <c r="A87" s="53">
        <v>0</v>
      </c>
      <c r="B87" s="54" t="s">
        <v>18</v>
      </c>
      <c r="C87" s="77" t="s">
        <v>28</v>
      </c>
      <c r="D87" s="78"/>
      <c r="E87" s="78"/>
      <c r="F87" s="79"/>
      <c r="G87" s="55" t="e">
        <f>#REF!</f>
        <v>#REF!</v>
      </c>
      <c r="H87" s="17" t="e">
        <f t="shared" ref="H87:H88" si="20">G87*A87</f>
        <v>#REF!</v>
      </c>
      <c r="I87" s="48"/>
      <c r="J87" s="56">
        <v>12</v>
      </c>
      <c r="K87" s="57">
        <v>0.1</v>
      </c>
      <c r="L87" s="56">
        <f t="shared" ref="L87:L88" si="21">J87*K87</f>
        <v>1.2000000000000002</v>
      </c>
      <c r="N87" s="56">
        <f t="shared" ref="N87:N88" si="22">J87+L87</f>
        <v>13.2</v>
      </c>
    </row>
    <row r="88" spans="1:18" s="56" customFormat="1" ht="21.6" customHeight="1">
      <c r="A88" s="65">
        <f t="shared" ref="A88" si="23">N88</f>
        <v>11.55</v>
      </c>
      <c r="B88" s="54" t="s">
        <v>18</v>
      </c>
      <c r="C88" s="106" t="s">
        <v>30</v>
      </c>
      <c r="D88" s="106"/>
      <c r="E88" s="106"/>
      <c r="F88" s="106"/>
      <c r="G88" s="66">
        <v>270</v>
      </c>
      <c r="H88" s="17">
        <f t="shared" si="20"/>
        <v>3118.5</v>
      </c>
      <c r="I88" s="48"/>
      <c r="J88" s="2">
        <v>10.5</v>
      </c>
      <c r="K88" s="57">
        <v>0.1</v>
      </c>
      <c r="L88" s="56">
        <f t="shared" si="21"/>
        <v>1.05</v>
      </c>
      <c r="N88" s="56">
        <f t="shared" si="22"/>
        <v>11.55</v>
      </c>
    </row>
    <row r="89" spans="1:18" s="58" customFormat="1" ht="15.75">
      <c r="A89" s="19">
        <f>A88</f>
        <v>11.55</v>
      </c>
      <c r="B89" s="20" t="s">
        <v>25</v>
      </c>
      <c r="C89" s="83"/>
      <c r="D89" s="83"/>
      <c r="E89" s="83"/>
      <c r="F89" s="83"/>
      <c r="G89" s="20" t="s">
        <v>26</v>
      </c>
      <c r="H89" s="22">
        <f>H88</f>
        <v>3118.5</v>
      </c>
      <c r="I89" s="48"/>
      <c r="J89" s="56">
        <f>SUM(J87:J88)</f>
        <v>22.5</v>
      </c>
      <c r="K89" s="57"/>
      <c r="L89" s="56"/>
      <c r="M89" s="56"/>
      <c r="N89" s="56"/>
    </row>
    <row r="90" spans="1:18" s="48" customFormat="1">
      <c r="A90" s="100"/>
      <c r="B90" s="101"/>
      <c r="C90" s="101"/>
      <c r="D90" s="101"/>
      <c r="E90" s="101"/>
      <c r="F90" s="101"/>
      <c r="G90" s="101"/>
      <c r="H90" s="102"/>
    </row>
    <row r="91" spans="1:18" s="48" customFormat="1" ht="18">
      <c r="A91" s="74" t="s">
        <v>136</v>
      </c>
      <c r="B91" s="74"/>
      <c r="C91" s="74"/>
      <c r="D91" s="74"/>
      <c r="E91" s="74"/>
      <c r="F91" s="74"/>
      <c r="G91" s="74"/>
      <c r="H91" s="74"/>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2" customFormat="1" ht="30.75" customHeight="1">
      <c r="A93" s="68">
        <f>N93</f>
        <v>43.05</v>
      </c>
      <c r="B93" s="15" t="s">
        <v>18</v>
      </c>
      <c r="C93" s="76" t="s">
        <v>135</v>
      </c>
      <c r="D93" s="76"/>
      <c r="E93" s="76"/>
      <c r="F93" s="76"/>
      <c r="G93" s="16">
        <v>270</v>
      </c>
      <c r="H93" s="17">
        <f>G93*A93</f>
        <v>11623.5</v>
      </c>
      <c r="I93" s="1"/>
      <c r="J93" s="2">
        <v>41</v>
      </c>
      <c r="K93" s="40">
        <v>0.05</v>
      </c>
      <c r="L93" s="2">
        <f t="shared" ref="L93" si="24">J93*K93</f>
        <v>2.0500000000000003</v>
      </c>
      <c r="N93" s="2">
        <f t="shared" ref="N93" si="25">J93+L93</f>
        <v>43.05</v>
      </c>
    </row>
    <row r="94" spans="1:18" s="58" customFormat="1" ht="15.75">
      <c r="A94" s="19">
        <f>SUM(A93:A93)</f>
        <v>43.05</v>
      </c>
      <c r="B94" s="20" t="s">
        <v>25</v>
      </c>
      <c r="C94" s="83"/>
      <c r="D94" s="83"/>
      <c r="E94" s="83"/>
      <c r="F94" s="83"/>
      <c r="G94" s="20" t="s">
        <v>26</v>
      </c>
      <c r="H94" s="22">
        <f>H93</f>
        <v>11623.5</v>
      </c>
      <c r="I94" s="48"/>
      <c r="J94" s="56" t="e">
        <f>J93+#REF!+#REF!+#REF!+#REF!+#REF!+#REF!+#REF!+#REF!+#REF!+#REF!+#REF!</f>
        <v>#REF!</v>
      </c>
      <c r="K94" s="57"/>
      <c r="L94" s="56"/>
      <c r="M94" s="56"/>
      <c r="N94" s="56"/>
    </row>
    <row r="95" spans="1:18" s="48" customFormat="1">
      <c r="A95" s="100"/>
      <c r="B95" s="101"/>
      <c r="C95" s="101"/>
      <c r="D95" s="101"/>
      <c r="E95" s="101"/>
      <c r="F95" s="101"/>
      <c r="G95" s="101"/>
      <c r="H95" s="102"/>
    </row>
    <row r="96" spans="1:18" s="48" customFormat="1" ht="18.75" customHeight="1">
      <c r="A96" s="60">
        <f>A89+A94</f>
        <v>54.599999999999994</v>
      </c>
      <c r="B96" s="71" t="s">
        <v>25</v>
      </c>
      <c r="C96" s="107" t="s">
        <v>134</v>
      </c>
      <c r="D96" s="107"/>
      <c r="E96" s="107"/>
      <c r="F96" s="107"/>
      <c r="G96" s="71" t="s">
        <v>26</v>
      </c>
      <c r="H96" s="61">
        <f>H94+H89</f>
        <v>14742</v>
      </c>
      <c r="K96" s="62"/>
    </row>
    <row r="97" spans="1:15" s="48" customFormat="1" ht="15.75" customHeight="1">
      <c r="A97" s="100"/>
      <c r="B97" s="101"/>
      <c r="C97" s="101"/>
      <c r="D97" s="101"/>
      <c r="E97" s="101"/>
      <c r="F97" s="101"/>
      <c r="G97" s="101"/>
      <c r="H97" s="102"/>
    </row>
    <row r="98" spans="1:15" s="48" customFormat="1" ht="18" hidden="1">
      <c r="A98" s="74" t="s">
        <v>33</v>
      </c>
      <c r="B98" s="74"/>
      <c r="C98" s="74"/>
      <c r="D98" s="74"/>
      <c r="E98" s="74"/>
      <c r="F98" s="74"/>
      <c r="G98" s="74"/>
      <c r="H98" s="74"/>
      <c r="J98" s="56"/>
      <c r="K98" s="57"/>
      <c r="L98" s="56">
        <v>90</v>
      </c>
      <c r="M98" s="48" t="e">
        <f>#REF!/L98</f>
        <v>#REF!</v>
      </c>
      <c r="N98" s="56">
        <v>30</v>
      </c>
      <c r="O98" s="48" t="e">
        <f>N98*M98</f>
        <v>#REF!</v>
      </c>
    </row>
    <row r="99" spans="1:15" s="52" customFormat="1" ht="15" hidden="1">
      <c r="A99" s="73" t="s">
        <v>10</v>
      </c>
      <c r="B99" s="50" t="s">
        <v>11</v>
      </c>
      <c r="C99" s="75" t="s">
        <v>12</v>
      </c>
      <c r="D99" s="75"/>
      <c r="E99" s="75"/>
      <c r="F99" s="75"/>
      <c r="G99" s="51" t="s">
        <v>13</v>
      </c>
      <c r="H99" s="51" t="s">
        <v>9</v>
      </c>
      <c r="I99" s="48"/>
      <c r="J99" s="56"/>
      <c r="K99" s="57"/>
      <c r="L99" s="56"/>
      <c r="N99" s="56"/>
    </row>
    <row r="100" spans="1:15" s="2" customFormat="1" ht="22.5" hidden="1" customHeight="1">
      <c r="A100" s="68">
        <v>0</v>
      </c>
      <c r="B100" s="15" t="s">
        <v>18</v>
      </c>
      <c r="C100" s="76" t="s">
        <v>34</v>
      </c>
      <c r="D100" s="76"/>
      <c r="E100" s="76"/>
      <c r="F100" s="76"/>
      <c r="G100" s="16" t="e">
        <f>#REF!</f>
        <v>#REF!</v>
      </c>
      <c r="H100" s="17" t="e">
        <f>G100*A100</f>
        <v>#REF!</v>
      </c>
      <c r="I100" s="1"/>
      <c r="J100" s="2">
        <v>25.55</v>
      </c>
      <c r="K100" s="40">
        <v>0.05</v>
      </c>
      <c r="L100" s="2">
        <f t="shared" ref="L100" si="26">J100*K100</f>
        <v>1.2775000000000001</v>
      </c>
      <c r="N100" s="2">
        <f t="shared" ref="N100" si="27">J100+L100</f>
        <v>26.827500000000001</v>
      </c>
    </row>
    <row r="101" spans="1:15" s="58" customFormat="1" ht="15.75" hidden="1">
      <c r="A101" s="19">
        <f>SUM(A100:A100)</f>
        <v>0</v>
      </c>
      <c r="B101" s="20" t="s">
        <v>25</v>
      </c>
      <c r="C101" s="83"/>
      <c r="D101" s="83"/>
      <c r="E101" s="83"/>
      <c r="F101" s="83"/>
      <c r="G101" s="20" t="s">
        <v>26</v>
      </c>
      <c r="H101" s="22" t="e">
        <f>H100</f>
        <v>#REF!</v>
      </c>
      <c r="I101" s="48"/>
      <c r="J101" s="56" t="e">
        <f>J100+#REF!+#REF!+#REF!+#REF!+J26+#REF!+J24+J23+J17+J16+J15</f>
        <v>#REF!</v>
      </c>
      <c r="K101" s="57"/>
      <c r="L101" s="56"/>
      <c r="M101" s="56"/>
      <c r="N101" s="56"/>
    </row>
    <row r="102" spans="1:15" s="48" customFormat="1" ht="15.75" hidden="1" customHeight="1">
      <c r="A102" s="100"/>
      <c r="B102" s="101"/>
      <c r="C102" s="101"/>
      <c r="D102" s="101"/>
      <c r="E102" s="101"/>
      <c r="F102" s="101"/>
      <c r="G102" s="101"/>
      <c r="H102" s="102"/>
    </row>
    <row r="103" spans="1:15" s="48" customFormat="1" ht="21.75" customHeight="1">
      <c r="A103" s="60">
        <f>A96+A81+A58+A35</f>
        <v>2304.9944999999998</v>
      </c>
      <c r="B103" s="71" t="s">
        <v>25</v>
      </c>
      <c r="C103" s="107" t="s">
        <v>92</v>
      </c>
      <c r="D103" s="107"/>
      <c r="E103" s="107"/>
      <c r="F103" s="107"/>
      <c r="G103" s="71" t="s">
        <v>26</v>
      </c>
      <c r="H103" s="61">
        <f>H96+H81+H58+H35</f>
        <v>629908.51500000001</v>
      </c>
      <c r="K103" s="62"/>
    </row>
    <row r="104" spans="1:15" s="48" customFormat="1" ht="16.5" customHeight="1">
      <c r="A104" s="108"/>
      <c r="B104" s="108"/>
      <c r="C104" s="108"/>
      <c r="D104" s="108"/>
      <c r="E104" s="108"/>
      <c r="F104" s="108"/>
      <c r="G104" s="108"/>
      <c r="H104" s="108"/>
    </row>
    <row r="105" spans="1:15" s="1" customFormat="1" ht="18">
      <c r="A105" s="109" t="s">
        <v>36</v>
      </c>
      <c r="B105" s="109"/>
      <c r="C105" s="109"/>
      <c r="D105" s="109"/>
      <c r="E105" s="109"/>
      <c r="F105" s="109"/>
      <c r="G105" s="109"/>
      <c r="H105" s="109"/>
    </row>
    <row r="106" spans="1:15" s="1" customFormat="1" ht="15">
      <c r="A106" s="72" t="s">
        <v>10</v>
      </c>
      <c r="B106" s="12" t="s">
        <v>11</v>
      </c>
      <c r="C106" s="110" t="s">
        <v>37</v>
      </c>
      <c r="D106" s="110"/>
      <c r="E106" s="110"/>
      <c r="F106" s="110"/>
      <c r="G106" s="13" t="s">
        <v>13</v>
      </c>
      <c r="H106" s="13" t="s">
        <v>9</v>
      </c>
      <c r="J106" s="1">
        <v>1700</v>
      </c>
      <c r="K106" s="1">
        <f>J106/A108</f>
        <v>22.666666666666668</v>
      </c>
    </row>
    <row r="107" spans="1:15" s="1" customFormat="1" ht="53.1" customHeight="1">
      <c r="A107" s="23">
        <v>110</v>
      </c>
      <c r="B107" s="23" t="s">
        <v>22</v>
      </c>
      <c r="C107" s="128" t="s">
        <v>38</v>
      </c>
      <c r="D107" s="129"/>
      <c r="E107" s="129"/>
      <c r="F107" s="130"/>
      <c r="G107" s="24">
        <v>360</v>
      </c>
      <c r="H107" s="25">
        <f>A107*G107</f>
        <v>39600</v>
      </c>
    </row>
    <row r="108" spans="1:15" s="1" customFormat="1" ht="38.450000000000003" customHeight="1">
      <c r="A108" s="23">
        <v>75</v>
      </c>
      <c r="B108" s="23" t="s">
        <v>22</v>
      </c>
      <c r="C108" s="131" t="s">
        <v>39</v>
      </c>
      <c r="D108" s="131"/>
      <c r="E108" s="131"/>
      <c r="F108" s="131"/>
      <c r="G108" s="24">
        <v>180</v>
      </c>
      <c r="H108" s="25">
        <f>A108*G108</f>
        <v>13500</v>
      </c>
      <c r="J108"/>
      <c r="L108"/>
    </row>
    <row r="109" spans="1:15" s="1" customFormat="1" ht="42.95" customHeight="1">
      <c r="A109" s="15">
        <v>1</v>
      </c>
      <c r="B109" s="15" t="s">
        <v>40</v>
      </c>
      <c r="C109" s="132" t="s">
        <v>41</v>
      </c>
      <c r="D109" s="133"/>
      <c r="E109" s="133"/>
      <c r="F109" s="133"/>
      <c r="G109" s="24">
        <v>9000</v>
      </c>
      <c r="H109" s="25">
        <f>A109*G109</f>
        <v>9000</v>
      </c>
      <c r="J109"/>
      <c r="L109"/>
    </row>
    <row r="110" spans="1:15" s="48" customFormat="1" ht="15.75">
      <c r="A110" s="71"/>
      <c r="B110" s="71" t="s">
        <v>17</v>
      </c>
      <c r="C110" s="107" t="s">
        <v>93</v>
      </c>
      <c r="D110" s="107"/>
      <c r="E110" s="107"/>
      <c r="F110" s="107"/>
      <c r="G110" s="27" t="s">
        <v>43</v>
      </c>
      <c r="H110" s="28">
        <f>H107+H108+H109</f>
        <v>62100</v>
      </c>
    </row>
    <row r="111" spans="1:15" s="48" customFormat="1">
      <c r="A111" s="108"/>
      <c r="B111" s="108"/>
      <c r="C111" s="108"/>
      <c r="D111" s="108"/>
      <c r="E111" s="108"/>
      <c r="F111" s="108"/>
      <c r="G111" s="108"/>
      <c r="H111" s="108"/>
      <c r="J111" s="48" t="e">
        <f>#REF!-#REF!-#REF!</f>
        <v>#REF!</v>
      </c>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38</v>
      </c>
      <c r="D114" s="129"/>
      <c r="E114" s="129"/>
      <c r="F114" s="130"/>
      <c r="G114" s="24">
        <v>360</v>
      </c>
      <c r="H114" s="25">
        <f>A114*G114</f>
        <v>39600</v>
      </c>
    </row>
    <row r="115" spans="1:12" s="1" customFormat="1" ht="38.450000000000003" customHeight="1">
      <c r="A115" s="23">
        <v>75</v>
      </c>
      <c r="B115" s="23" t="s">
        <v>22</v>
      </c>
      <c r="C115" s="131" t="s">
        <v>39</v>
      </c>
      <c r="D115" s="131"/>
      <c r="E115" s="131"/>
      <c r="F115" s="131"/>
      <c r="G115" s="24">
        <v>180</v>
      </c>
      <c r="H115" s="25">
        <f>A115*G115</f>
        <v>13500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137</v>
      </c>
      <c r="D117" s="107"/>
      <c r="E117" s="107"/>
      <c r="F117" s="107"/>
      <c r="G117" s="27" t="s">
        <v>43</v>
      </c>
      <c r="H117" s="28">
        <f>H114+H115+H116</f>
        <v>62100</v>
      </c>
    </row>
    <row r="118" spans="1:12" s="48" customFormat="1">
      <c r="A118" s="100"/>
      <c r="B118" s="101"/>
      <c r="C118" s="101"/>
      <c r="D118" s="101"/>
      <c r="E118" s="101"/>
      <c r="F118" s="101"/>
      <c r="G118" s="101"/>
      <c r="H118" s="102"/>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38</v>
      </c>
      <c r="D121" s="129"/>
      <c r="E121" s="129"/>
      <c r="F121" s="130"/>
      <c r="G121" s="24">
        <v>360</v>
      </c>
      <c r="H121" s="25">
        <f>A121*G121</f>
        <v>39600</v>
      </c>
    </row>
    <row r="122" spans="1:12" s="1" customFormat="1" ht="38.450000000000003" customHeight="1">
      <c r="A122" s="23">
        <v>75</v>
      </c>
      <c r="B122" s="23" t="s">
        <v>22</v>
      </c>
      <c r="C122" s="131" t="s">
        <v>39</v>
      </c>
      <c r="D122" s="131"/>
      <c r="E122" s="131"/>
      <c r="F122" s="131"/>
      <c r="G122" s="24">
        <v>180</v>
      </c>
      <c r="H122" s="25">
        <f>A122*G122</f>
        <v>13500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138</v>
      </c>
      <c r="D124" s="107"/>
      <c r="E124" s="107"/>
      <c r="F124" s="107"/>
      <c r="G124" s="27" t="s">
        <v>43</v>
      </c>
      <c r="H124" s="28">
        <f>H121+H122+H123</f>
        <v>62100</v>
      </c>
    </row>
    <row r="125" spans="1:12" s="48" customFormat="1">
      <c r="A125" s="100"/>
      <c r="B125" s="101"/>
      <c r="C125" s="101"/>
      <c r="D125" s="101"/>
      <c r="E125" s="101"/>
      <c r="F125" s="101"/>
      <c r="G125" s="101"/>
      <c r="H125" s="102"/>
    </row>
    <row r="126" spans="1:12" s="48" customFormat="1" ht="21.75" customHeight="1">
      <c r="A126" s="60"/>
      <c r="B126" s="71"/>
      <c r="C126" s="107" t="s">
        <v>95</v>
      </c>
      <c r="D126" s="107"/>
      <c r="E126" s="107"/>
      <c r="F126" s="107"/>
      <c r="G126" s="71" t="s">
        <v>26</v>
      </c>
      <c r="H126" s="61">
        <f>H124+H117+H110</f>
        <v>186300</v>
      </c>
      <c r="K126" s="62"/>
    </row>
    <row r="127" spans="1:12" s="48" customFormat="1">
      <c r="A127" s="100"/>
      <c r="B127" s="101"/>
      <c r="C127" s="101"/>
      <c r="D127" s="101"/>
      <c r="E127" s="101"/>
      <c r="F127" s="101"/>
      <c r="G127" s="101"/>
      <c r="H127" s="102"/>
    </row>
    <row r="128" spans="1:12" s="48" customFormat="1" ht="15" customHeight="1">
      <c r="A128" s="111" t="s">
        <v>44</v>
      </c>
      <c r="B128" s="111"/>
      <c r="C128" s="111"/>
      <c r="D128" s="111"/>
      <c r="E128" s="111"/>
      <c r="F128" s="111"/>
      <c r="G128" s="111"/>
      <c r="H128" s="111"/>
    </row>
    <row r="129" spans="1:15" s="48" customFormat="1" ht="388.5" customHeight="1">
      <c r="A129" s="112"/>
      <c r="B129" s="113"/>
      <c r="C129" s="113"/>
      <c r="D129" s="113"/>
      <c r="E129" s="113"/>
      <c r="F129" s="113"/>
      <c r="G129" s="113"/>
      <c r="H129" s="114"/>
      <c r="J129" s="63"/>
    </row>
    <row r="130" spans="1:15" s="48" customFormat="1" ht="41.25" customHeight="1">
      <c r="A130" s="115"/>
      <c r="B130" s="116"/>
      <c r="C130" s="116"/>
      <c r="D130" s="116"/>
      <c r="E130" s="116"/>
      <c r="F130" s="116"/>
      <c r="G130" s="116"/>
      <c r="H130" s="117"/>
    </row>
    <row r="131" spans="1:15" ht="28.15" customHeight="1">
      <c r="A131" s="118" t="s">
        <v>45</v>
      </c>
      <c r="B131" s="119"/>
      <c r="C131" s="119"/>
      <c r="D131" s="119"/>
      <c r="E131" s="119"/>
      <c r="F131" s="120"/>
      <c r="G131" s="29" t="s">
        <v>43</v>
      </c>
      <c r="H131" s="30">
        <f>H103+H126</f>
        <v>816208.51500000001</v>
      </c>
      <c r="J131" s="41"/>
    </row>
    <row r="132" spans="1:15" ht="28.15" hidden="1" customHeight="1">
      <c r="A132" s="121"/>
      <c r="B132" s="122"/>
      <c r="C132" s="122"/>
      <c r="D132" s="122"/>
      <c r="E132" s="122"/>
      <c r="F132" s="123"/>
      <c r="G132" s="29" t="s">
        <v>46</v>
      </c>
      <c r="H132" s="30">
        <v>0</v>
      </c>
      <c r="J132" s="42"/>
    </row>
    <row r="133" spans="1:15" ht="23.25" customHeight="1">
      <c r="A133" s="124"/>
      <c r="B133" s="125"/>
      <c r="C133" s="125"/>
      <c r="D133" s="125"/>
      <c r="E133" s="125"/>
      <c r="F133" s="126"/>
      <c r="G133" s="31" t="s">
        <v>47</v>
      </c>
      <c r="H133" s="32">
        <f>H131-H132</f>
        <v>816208.51500000001</v>
      </c>
      <c r="J133" s="42"/>
    </row>
    <row r="134" spans="1:15" ht="21.95" customHeight="1">
      <c r="A134" s="74" t="s">
        <v>48</v>
      </c>
      <c r="B134" s="74"/>
      <c r="C134" s="127" t="s">
        <v>159</v>
      </c>
      <c r="D134" s="127"/>
      <c r="E134" s="127"/>
      <c r="F134" s="127"/>
      <c r="G134" s="33" t="s">
        <v>49</v>
      </c>
      <c r="H134" s="34">
        <f>9000*3.5</f>
        <v>31500</v>
      </c>
      <c r="I134" s="4">
        <v>9</v>
      </c>
      <c r="J134" s="43"/>
    </row>
    <row r="135" spans="1:15" ht="21.95" customHeight="1">
      <c r="A135" s="74"/>
      <c r="B135" s="74"/>
      <c r="C135" s="127"/>
      <c r="D135" s="127"/>
      <c r="E135" s="127"/>
      <c r="F135" s="127"/>
      <c r="G135" s="31" t="s">
        <v>50</v>
      </c>
      <c r="H135" s="30">
        <f>H133+H134</f>
        <v>847708.51500000001</v>
      </c>
      <c r="J135" s="42"/>
    </row>
    <row r="136" spans="1:15" ht="21.95" customHeight="1">
      <c r="A136" s="74"/>
      <c r="B136" s="74"/>
      <c r="C136" s="127"/>
      <c r="D136" s="127"/>
      <c r="E136" s="127"/>
      <c r="F136" s="127"/>
      <c r="G136" s="33" t="s">
        <v>51</v>
      </c>
      <c r="H136" s="34">
        <f>H135*0.16</f>
        <v>135633.36240000001</v>
      </c>
      <c r="J136" s="43">
        <v>19</v>
      </c>
      <c r="K136" s="4">
        <f>H131*J136</f>
        <v>15507961.785</v>
      </c>
      <c r="O136" s="44">
        <f>H137*4</f>
        <v>3933367.5096</v>
      </c>
    </row>
    <row r="137" spans="1:15" ht="21.95" customHeight="1">
      <c r="A137" s="74"/>
      <c r="B137" s="74"/>
      <c r="C137" s="127"/>
      <c r="D137" s="127"/>
      <c r="E137" s="127"/>
      <c r="F137" s="127"/>
      <c r="G137" s="35" t="s">
        <v>52</v>
      </c>
      <c r="H137" s="36">
        <f>H135+H136</f>
        <v>983341.8774</v>
      </c>
      <c r="I137" s="44">
        <f>H137/A103</f>
        <v>426.61354610607532</v>
      </c>
      <c r="J137" s="45"/>
    </row>
    <row r="138" spans="1:15">
      <c r="A138" s="88"/>
      <c r="B138" s="88"/>
      <c r="C138" s="88"/>
      <c r="D138" s="88"/>
      <c r="E138" s="88"/>
      <c r="F138" s="88"/>
      <c r="G138" s="88"/>
      <c r="H138" s="88"/>
    </row>
    <row r="139" spans="1:15" ht="31.15" customHeight="1">
      <c r="A139" s="74" t="s">
        <v>53</v>
      </c>
      <c r="B139" s="74"/>
      <c r="C139" s="74"/>
      <c r="D139" s="74"/>
      <c r="E139" s="74"/>
      <c r="F139" s="74"/>
      <c r="G139" s="74"/>
      <c r="H139" s="74"/>
      <c r="J139" s="44"/>
    </row>
    <row r="140" spans="1:15" ht="12" customHeight="1">
      <c r="A140" s="134"/>
      <c r="B140" s="134"/>
      <c r="C140" s="134"/>
      <c r="D140" s="134"/>
      <c r="E140" s="134"/>
      <c r="F140" s="134"/>
      <c r="G140" s="134"/>
      <c r="H140" s="134"/>
      <c r="K140" s="44">
        <f>H133*12</f>
        <v>9794502.1799999997</v>
      </c>
    </row>
    <row r="141" spans="1:15" ht="30.75" customHeight="1" thickBot="1">
      <c r="A141" s="135" t="s">
        <v>54</v>
      </c>
      <c r="B141" s="135"/>
      <c r="C141" s="136" t="s">
        <v>55</v>
      </c>
      <c r="D141" s="136"/>
      <c r="E141" s="136"/>
      <c r="F141" s="136"/>
      <c r="G141" s="137" t="s">
        <v>56</v>
      </c>
      <c r="H141" s="137"/>
    </row>
    <row r="142" spans="1:15" ht="19.899999999999999" customHeight="1" thickBot="1">
      <c r="A142" s="138" t="s">
        <v>57</v>
      </c>
      <c r="B142" s="138"/>
      <c r="C142" s="136" t="s">
        <v>58</v>
      </c>
      <c r="D142" s="136"/>
      <c r="E142" s="136"/>
      <c r="F142" s="136"/>
      <c r="G142" s="139"/>
      <c r="H142" s="140"/>
      <c r="K142" s="64">
        <f>H137*3</f>
        <v>2950025.6321999999</v>
      </c>
    </row>
    <row r="143" spans="1:15" ht="27.6" customHeight="1">
      <c r="A143" s="142" t="s">
        <v>59</v>
      </c>
      <c r="B143" s="143"/>
      <c r="C143" s="37" t="s">
        <v>60</v>
      </c>
      <c r="D143" s="148">
        <f>H137*0.6</f>
        <v>590005.12644000002</v>
      </c>
      <c r="E143" s="148"/>
      <c r="F143" s="148"/>
      <c r="G143" s="149"/>
      <c r="H143" s="150"/>
    </row>
    <row r="144" spans="1:15" ht="33" customHeight="1">
      <c r="A144" s="144"/>
      <c r="B144" s="145"/>
      <c r="C144" s="37" t="s">
        <v>98</v>
      </c>
      <c r="D144" s="141">
        <f>H137*0.3</f>
        <v>295002.56322000001</v>
      </c>
      <c r="E144" s="141"/>
      <c r="F144" s="141"/>
      <c r="G144" s="151"/>
      <c r="H144" s="152"/>
      <c r="J144" s="44">
        <f>H137-'[1]CTZ 8T (altura 270.7)'!H66</f>
        <v>745040.52201279998</v>
      </c>
    </row>
    <row r="145" spans="1:13" ht="39" customHeight="1">
      <c r="A145" s="144"/>
      <c r="B145" s="145"/>
      <c r="C145" s="37" t="s">
        <v>99</v>
      </c>
      <c r="D145" s="141">
        <f>H137*0.1</f>
        <v>98334.187740000008</v>
      </c>
      <c r="E145" s="141"/>
      <c r="F145" s="141"/>
      <c r="G145" s="151"/>
      <c r="H145" s="152"/>
      <c r="J145" s="44"/>
    </row>
    <row r="146" spans="1:13" ht="28.5" customHeight="1">
      <c r="A146" s="144"/>
      <c r="B146" s="145"/>
      <c r="C146" s="155" t="s">
        <v>61</v>
      </c>
      <c r="D146" s="157">
        <f>D143+D144+D145</f>
        <v>983341.8774</v>
      </c>
      <c r="E146" s="158"/>
      <c r="F146" s="159"/>
      <c r="G146" s="153"/>
      <c r="H146" s="154"/>
      <c r="J146" s="46"/>
      <c r="M146" s="46">
        <f>D143*8</f>
        <v>4720041.0115200002</v>
      </c>
    </row>
    <row r="147" spans="1:13" ht="5.45" hidden="1" customHeight="1">
      <c r="A147" s="146"/>
      <c r="B147" s="147"/>
      <c r="C147" s="156"/>
      <c r="D147" s="160"/>
      <c r="E147" s="161"/>
      <c r="F147" s="162"/>
      <c r="G147" s="163" t="s">
        <v>62</v>
      </c>
      <c r="H147" s="164"/>
    </row>
    <row r="148" spans="1:13" ht="24.95" customHeight="1">
      <c r="A148" s="172" t="s">
        <v>63</v>
      </c>
      <c r="B148" s="173"/>
      <c r="C148" s="38" t="s">
        <v>100</v>
      </c>
      <c r="D148" s="167"/>
      <c r="E148" s="168"/>
      <c r="F148" s="169"/>
      <c r="G148" s="165" t="s">
        <v>155</v>
      </c>
      <c r="H148" s="166"/>
      <c r="J148" s="38">
        <v>75</v>
      </c>
    </row>
    <row r="149" spans="1:13" ht="24.95" customHeight="1">
      <c r="A149" s="174"/>
      <c r="B149" s="175"/>
      <c r="C149" s="38" t="s">
        <v>101</v>
      </c>
      <c r="D149" s="167"/>
      <c r="E149" s="168"/>
      <c r="F149" s="169"/>
      <c r="G149" s="165" t="s">
        <v>103</v>
      </c>
      <c r="H149" s="166"/>
      <c r="J149" s="38">
        <v>120</v>
      </c>
      <c r="L149" s="46"/>
    </row>
    <row r="150" spans="1:13" ht="33" customHeight="1">
      <c r="A150" s="174"/>
      <c r="B150" s="175"/>
      <c r="C150" s="38" t="s">
        <v>102</v>
      </c>
      <c r="D150" s="167"/>
      <c r="E150" s="168"/>
      <c r="F150" s="169"/>
      <c r="G150" s="191" t="s">
        <v>158</v>
      </c>
      <c r="H150" s="192"/>
      <c r="J150" s="38">
        <f t="shared" ref="J150" si="28">J149+15</f>
        <v>135</v>
      </c>
      <c r="L150" s="46"/>
    </row>
    <row r="151" spans="1:13" ht="24.95" hidden="1" customHeight="1">
      <c r="A151" s="174"/>
      <c r="B151" s="175"/>
      <c r="C151" s="38" t="s">
        <v>70</v>
      </c>
      <c r="D151" s="167"/>
      <c r="E151" s="168"/>
      <c r="F151" s="169"/>
      <c r="G151" s="165" t="s">
        <v>157</v>
      </c>
      <c r="H151" s="166"/>
      <c r="J151" s="38">
        <f>J150+15</f>
        <v>150</v>
      </c>
    </row>
    <row r="152" spans="1:13" ht="24.95" hidden="1" customHeight="1">
      <c r="A152" s="174"/>
      <c r="B152" s="175"/>
      <c r="C152" s="38" t="s">
        <v>70</v>
      </c>
      <c r="D152" s="167">
        <f>H137*2</f>
        <v>1966683.7548</v>
      </c>
      <c r="E152" s="168"/>
      <c r="F152" s="169"/>
      <c r="G152" s="165" t="s">
        <v>71</v>
      </c>
      <c r="H152" s="166"/>
      <c r="J152" s="47"/>
    </row>
    <row r="153" spans="1:13" ht="24.95" hidden="1" customHeight="1">
      <c r="A153" s="174"/>
      <c r="B153" s="175"/>
      <c r="C153" s="38" t="s">
        <v>72</v>
      </c>
      <c r="D153" s="167">
        <f>H137*2</f>
        <v>1966683.7548</v>
      </c>
      <c r="E153" s="168"/>
      <c r="F153" s="169"/>
      <c r="G153" s="165" t="s">
        <v>71</v>
      </c>
      <c r="H153" s="166"/>
      <c r="J153" s="47"/>
    </row>
    <row r="154" spans="1:13" ht="24.95" hidden="1" customHeight="1">
      <c r="A154" s="176"/>
      <c r="B154" s="177"/>
      <c r="C154" s="38" t="s">
        <v>73</v>
      </c>
      <c r="D154" s="167">
        <f>H137*3</f>
        <v>2950025.6321999999</v>
      </c>
      <c r="E154" s="168"/>
      <c r="F154" s="169"/>
      <c r="G154" s="165" t="s">
        <v>74</v>
      </c>
      <c r="H154" s="166"/>
      <c r="J154" s="47"/>
    </row>
    <row r="155" spans="1:13" ht="19.149999999999999" customHeight="1">
      <c r="A155" s="135" t="s">
        <v>75</v>
      </c>
      <c r="B155" s="135"/>
      <c r="C155" s="170" t="s">
        <v>76</v>
      </c>
      <c r="D155" s="170"/>
      <c r="E155" s="170"/>
      <c r="F155" s="170"/>
      <c r="G155" s="91"/>
      <c r="H155" s="171"/>
      <c r="J155" s="46">
        <f>SUM(D149:F151)</f>
        <v>0</v>
      </c>
    </row>
    <row r="156" spans="1:13" ht="10.15" customHeight="1">
      <c r="A156" s="88"/>
      <c r="B156" s="88"/>
      <c r="C156" s="88"/>
      <c r="D156" s="88"/>
      <c r="E156" s="88"/>
      <c r="F156" s="88"/>
      <c r="G156" s="189"/>
      <c r="H156" s="189"/>
      <c r="J156" s="46"/>
      <c r="K156" s="46"/>
    </row>
    <row r="157" spans="1:13" ht="117" customHeight="1">
      <c r="A157" s="137" t="s">
        <v>77</v>
      </c>
      <c r="B157" s="137"/>
      <c r="C157" s="190" t="s">
        <v>154</v>
      </c>
      <c r="D157" s="190"/>
      <c r="E157" s="190"/>
      <c r="F157" s="190"/>
      <c r="G157" s="190"/>
      <c r="H157" s="39"/>
      <c r="J157" s="46"/>
    </row>
    <row r="158" spans="1:13" ht="27" customHeight="1">
      <c r="A158" s="137"/>
      <c r="B158" s="137"/>
      <c r="C158" s="190" t="s">
        <v>78</v>
      </c>
      <c r="D158" s="190"/>
      <c r="E158" s="190"/>
      <c r="F158" s="190"/>
      <c r="G158" s="190"/>
      <c r="H158" s="39"/>
    </row>
    <row r="159" spans="1:13" ht="67.150000000000006" customHeight="1">
      <c r="A159" s="137"/>
      <c r="B159" s="137"/>
      <c r="C159" s="190" t="s">
        <v>79</v>
      </c>
      <c r="D159" s="190"/>
      <c r="E159" s="190"/>
      <c r="F159" s="190"/>
      <c r="G159" s="190"/>
      <c r="H159" s="39"/>
    </row>
    <row r="160" spans="1:13" ht="54" customHeight="1">
      <c r="A160" s="137"/>
      <c r="B160" s="137"/>
      <c r="C160" s="190" t="s">
        <v>80</v>
      </c>
      <c r="D160" s="190"/>
      <c r="E160" s="190"/>
      <c r="F160" s="190"/>
      <c r="G160" s="190"/>
      <c r="H160" s="39"/>
    </row>
    <row r="161" spans="1:8" ht="150.75" hidden="1" customHeight="1">
      <c r="A161" s="137"/>
      <c r="B161" s="137"/>
      <c r="C161" s="181" t="s">
        <v>81</v>
      </c>
      <c r="D161" s="182"/>
      <c r="E161" s="182"/>
      <c r="F161" s="182"/>
      <c r="G161" s="183"/>
      <c r="H161" s="39"/>
    </row>
    <row r="162" spans="1:8" ht="30" customHeight="1">
      <c r="A162" s="137"/>
      <c r="B162" s="137"/>
      <c r="C162" s="190" t="s">
        <v>82</v>
      </c>
      <c r="D162" s="190"/>
      <c r="E162" s="190"/>
      <c r="F162" s="190"/>
      <c r="G162" s="190"/>
      <c r="H162" s="39"/>
    </row>
    <row r="163" spans="1:8" ht="51" customHeight="1">
      <c r="A163" s="137"/>
      <c r="B163" s="137"/>
      <c r="C163" s="190" t="s">
        <v>83</v>
      </c>
      <c r="D163" s="190"/>
      <c r="E163" s="190"/>
      <c r="F163" s="190"/>
      <c r="G163" s="190"/>
      <c r="H163" s="39"/>
    </row>
    <row r="164" spans="1:8" ht="64.5" hidden="1" customHeight="1">
      <c r="A164" s="137"/>
      <c r="B164" s="137"/>
      <c r="C164" s="181" t="s">
        <v>84</v>
      </c>
      <c r="D164" s="182"/>
      <c r="E164" s="182"/>
      <c r="F164" s="182"/>
      <c r="G164" s="183"/>
      <c r="H164" s="39"/>
    </row>
    <row r="165" spans="1:8" ht="103.5" customHeight="1">
      <c r="A165" s="137"/>
      <c r="B165" s="137"/>
      <c r="C165" s="184" t="s">
        <v>85</v>
      </c>
      <c r="D165" s="184"/>
      <c r="E165" s="184"/>
      <c r="F165" s="184"/>
      <c r="G165" s="184"/>
      <c r="H165" s="39"/>
    </row>
    <row r="166" spans="1:8" ht="24.95" customHeight="1">
      <c r="A166" s="137"/>
      <c r="B166" s="137"/>
      <c r="C166" s="184" t="s">
        <v>86</v>
      </c>
      <c r="D166" s="184"/>
      <c r="E166" s="184"/>
      <c r="F166" s="184"/>
      <c r="G166" s="184"/>
      <c r="H166" s="39"/>
    </row>
    <row r="167" spans="1:8" ht="7.9" customHeight="1">
      <c r="A167" s="185"/>
      <c r="B167" s="185"/>
      <c r="C167" s="185"/>
      <c r="D167" s="185"/>
      <c r="E167" s="185"/>
      <c r="F167" s="185"/>
      <c r="G167" s="185"/>
      <c r="H167" s="185"/>
    </row>
    <row r="168" spans="1:8" ht="30" customHeight="1">
      <c r="A168" s="185"/>
      <c r="B168" s="185"/>
      <c r="C168" s="185"/>
      <c r="D168" s="185"/>
      <c r="E168" s="185"/>
      <c r="F168" s="185"/>
      <c r="G168" s="185"/>
      <c r="H168" s="185"/>
    </row>
    <row r="169" spans="1:8" ht="30" customHeight="1">
      <c r="A169" s="185"/>
      <c r="B169" s="185"/>
      <c r="C169" s="185"/>
      <c r="D169" s="185"/>
      <c r="E169" s="185"/>
      <c r="F169" s="185"/>
      <c r="G169" s="185"/>
      <c r="H169" s="185"/>
    </row>
    <row r="170" spans="1:8" ht="24" customHeight="1">
      <c r="A170" s="185"/>
      <c r="B170" s="185"/>
      <c r="C170" s="185"/>
      <c r="D170" s="185"/>
      <c r="E170" s="185"/>
      <c r="F170" s="185"/>
      <c r="G170" s="185"/>
      <c r="H170" s="185"/>
    </row>
    <row r="171" spans="1:8" ht="43.9" customHeight="1">
      <c r="A171" s="185"/>
      <c r="B171" s="185"/>
      <c r="C171" s="185"/>
      <c r="D171" s="185"/>
      <c r="E171" s="185"/>
      <c r="F171" s="185"/>
      <c r="G171" s="185"/>
      <c r="H171" s="185"/>
    </row>
    <row r="172" spans="1:8" ht="18">
      <c r="A172" s="186" t="s">
        <v>87</v>
      </c>
      <c r="B172" s="187"/>
      <c r="C172" s="187"/>
      <c r="D172" s="187"/>
      <c r="E172" s="187"/>
      <c r="F172" s="187"/>
      <c r="G172" s="187"/>
      <c r="H172" s="188"/>
    </row>
    <row r="173" spans="1:8">
      <c r="A173" s="178" t="s">
        <v>88</v>
      </c>
      <c r="B173" s="179"/>
      <c r="C173" s="179"/>
      <c r="D173" s="179"/>
      <c r="E173" s="179"/>
      <c r="F173" s="179"/>
      <c r="G173" s="179"/>
      <c r="H173" s="180"/>
    </row>
  </sheetData>
  <mergeCells count="190">
    <mergeCell ref="A168:H171"/>
    <mergeCell ref="A172:H172"/>
    <mergeCell ref="A173:H173"/>
    <mergeCell ref="C162:G162"/>
    <mergeCell ref="C163:G163"/>
    <mergeCell ref="C164:G164"/>
    <mergeCell ref="C165:G165"/>
    <mergeCell ref="C166:G166"/>
    <mergeCell ref="A167:H167"/>
    <mergeCell ref="A155:B155"/>
    <mergeCell ref="C155:F155"/>
    <mergeCell ref="G155:H155"/>
    <mergeCell ref="A156:H156"/>
    <mergeCell ref="A157:B166"/>
    <mergeCell ref="C157:G157"/>
    <mergeCell ref="C158:G158"/>
    <mergeCell ref="C159:G159"/>
    <mergeCell ref="C160:G160"/>
    <mergeCell ref="C161:G161"/>
    <mergeCell ref="D152:F152"/>
    <mergeCell ref="G152:H152"/>
    <mergeCell ref="D153:F153"/>
    <mergeCell ref="G153:H153"/>
    <mergeCell ref="D154:F154"/>
    <mergeCell ref="G154:H154"/>
    <mergeCell ref="G147:H147"/>
    <mergeCell ref="A148:B154"/>
    <mergeCell ref="D148:F148"/>
    <mergeCell ref="G148:H148"/>
    <mergeCell ref="D149:F149"/>
    <mergeCell ref="G149:H149"/>
    <mergeCell ref="D150:F150"/>
    <mergeCell ref="G150:H150"/>
    <mergeCell ref="D151:F151"/>
    <mergeCell ref="G151:H151"/>
    <mergeCell ref="A142:B142"/>
    <mergeCell ref="C142:F142"/>
    <mergeCell ref="G142:H142"/>
    <mergeCell ref="A143:B147"/>
    <mergeCell ref="D143:F143"/>
    <mergeCell ref="G143:H146"/>
    <mergeCell ref="D144:F144"/>
    <mergeCell ref="D145:F145"/>
    <mergeCell ref="C146:C147"/>
    <mergeCell ref="D146:F147"/>
    <mergeCell ref="A134:B137"/>
    <mergeCell ref="C134:F137"/>
    <mergeCell ref="A138:H138"/>
    <mergeCell ref="A139:H139"/>
    <mergeCell ref="A140:H140"/>
    <mergeCell ref="A141:B141"/>
    <mergeCell ref="C141:F141"/>
    <mergeCell ref="G141:H141"/>
    <mergeCell ref="C126:F126"/>
    <mergeCell ref="A127:H127"/>
    <mergeCell ref="A128:H128"/>
    <mergeCell ref="A129:H130"/>
    <mergeCell ref="A131:F133"/>
    <mergeCell ref="A125:H125"/>
    <mergeCell ref="A119:H119"/>
    <mergeCell ref="C120:F120"/>
    <mergeCell ref="C121:F121"/>
    <mergeCell ref="C122:F122"/>
    <mergeCell ref="C123:F123"/>
    <mergeCell ref="C124:F124"/>
    <mergeCell ref="C113:F113"/>
    <mergeCell ref="C114:F114"/>
    <mergeCell ref="C115:F115"/>
    <mergeCell ref="C116:F116"/>
    <mergeCell ref="C117:F117"/>
    <mergeCell ref="A118:H118"/>
    <mergeCell ref="C107:F107"/>
    <mergeCell ref="C108:F108"/>
    <mergeCell ref="C109:F109"/>
    <mergeCell ref="C110:F110"/>
    <mergeCell ref="A111:H111"/>
    <mergeCell ref="A112:H112"/>
    <mergeCell ref="C101:F101"/>
    <mergeCell ref="A102:H102"/>
    <mergeCell ref="C103:F103"/>
    <mergeCell ref="A104:H104"/>
    <mergeCell ref="A105:H105"/>
    <mergeCell ref="C106:F106"/>
    <mergeCell ref="A95:H95"/>
    <mergeCell ref="C96:F96"/>
    <mergeCell ref="A97:H97"/>
    <mergeCell ref="A98:H98"/>
    <mergeCell ref="C99:F99"/>
    <mergeCell ref="C100:F100"/>
    <mergeCell ref="C89:F89"/>
    <mergeCell ref="A90:H90"/>
    <mergeCell ref="A91:H91"/>
    <mergeCell ref="C92:F92"/>
    <mergeCell ref="C93:F93"/>
    <mergeCell ref="C94:F94"/>
    <mergeCell ref="A84:H84"/>
    <mergeCell ref="A85:H85"/>
    <mergeCell ref="C86:F86"/>
    <mergeCell ref="C87:F87"/>
    <mergeCell ref="C88:F88"/>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43E4CE1D-6D91-4CBA-BC94-51F2CE411783}"/>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03" max="7" man="1"/>
    <brk id="126" max="7" man="1"/>
    <brk id="130" max="7" man="1"/>
    <brk id="155" max="7" man="1"/>
    <brk id="173" max="16383" man="1"/>
  </row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723B-8161-4227-BCF1-61E2DDB1138E}">
  <dimension ref="A1:R173"/>
  <sheetViews>
    <sheetView view="pageBreakPreview" topLeftCell="A133" zoomScale="85" zoomScaleNormal="80" zoomScaleSheetLayoutView="85" workbookViewId="0">
      <selection activeCell="C141" sqref="C141:F141"/>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160</v>
      </c>
    </row>
    <row r="3" spans="1:18" ht="25.15" customHeight="1">
      <c r="A3" s="93" t="s">
        <v>3</v>
      </c>
      <c r="B3" s="93"/>
      <c r="C3" s="94" t="s">
        <v>4</v>
      </c>
      <c r="D3" s="94"/>
      <c r="E3" s="94"/>
      <c r="F3" s="94"/>
      <c r="G3" s="94"/>
      <c r="H3" s="94"/>
    </row>
    <row r="4" spans="1:18" ht="93.75" customHeight="1">
      <c r="A4" s="93" t="s">
        <v>5</v>
      </c>
      <c r="B4" s="93"/>
      <c r="C4" s="97" t="s">
        <v>161</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220</v>
      </c>
    </row>
    <row r="11" spans="1:18" s="2" customFormat="1" ht="21.95" customHeight="1">
      <c r="A11" s="14">
        <f>N11</f>
        <v>466.30500000000001</v>
      </c>
      <c r="B11" s="15" t="s">
        <v>18</v>
      </c>
      <c r="C11" s="76" t="s">
        <v>19</v>
      </c>
      <c r="D11" s="76"/>
      <c r="E11" s="76"/>
      <c r="F11" s="76"/>
      <c r="G11" s="16">
        <f>R10</f>
        <v>220</v>
      </c>
      <c r="H11" s="17">
        <f>G11*A11</f>
        <v>102587.1</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220</v>
      </c>
      <c r="H12" s="17">
        <f>A12*G12</f>
        <v>30321.059999999994</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220</v>
      </c>
      <c r="H13" s="17">
        <f>A13*G13</f>
        <v>14601.510000000002</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150029.67000000001</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220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220</v>
      </c>
      <c r="H22" s="17">
        <f t="shared" si="1"/>
        <v>7539.8399999999992</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7539.8399999999992</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220</v>
      </c>
      <c r="H27" s="17">
        <f>G27*A27</f>
        <v>6283.42</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6283.42</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220</v>
      </c>
      <c r="H32" s="17">
        <f>G32*A32</f>
        <v>11088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11088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174940.93000000002</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220</v>
      </c>
    </row>
    <row r="39" spans="1:18" s="2" customFormat="1" ht="21.95" customHeight="1">
      <c r="A39" s="14">
        <f>N39</f>
        <v>466.30500000000001</v>
      </c>
      <c r="B39" s="15" t="s">
        <v>18</v>
      </c>
      <c r="C39" s="76" t="s">
        <v>19</v>
      </c>
      <c r="D39" s="76"/>
      <c r="E39" s="76"/>
      <c r="F39" s="76"/>
      <c r="G39" s="16">
        <f>R38</f>
        <v>220</v>
      </c>
      <c r="H39" s="17">
        <f>G39*A39</f>
        <v>102587.1</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220</v>
      </c>
      <c r="H40" s="17">
        <f>A40*G40</f>
        <v>30321.059999999994</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220</v>
      </c>
      <c r="H41" s="17">
        <f>A41*G41</f>
        <v>14601.510000000002</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150029.67000000001</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220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220</v>
      </c>
      <c r="H50" s="17">
        <f t="shared" si="9"/>
        <v>7539.8399999999992</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7539.8399999999992</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220</v>
      </c>
      <c r="H55" s="17">
        <f>G55*A55</f>
        <v>6283.42</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6283.42</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163852.93000000002</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220</v>
      </c>
    </row>
    <row r="62" spans="1:18" s="2" customFormat="1" ht="21.95" customHeight="1">
      <c r="A62" s="14">
        <f>N62</f>
        <v>466.30500000000001</v>
      </c>
      <c r="B62" s="15" t="s">
        <v>18</v>
      </c>
      <c r="C62" s="76" t="s">
        <v>19</v>
      </c>
      <c r="D62" s="76"/>
      <c r="E62" s="76"/>
      <c r="F62" s="76"/>
      <c r="G62" s="16">
        <f>R61</f>
        <v>220</v>
      </c>
      <c r="H62" s="17">
        <f>G62*A62</f>
        <v>102587.1</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220</v>
      </c>
      <c r="H63" s="17">
        <f>A63*G63</f>
        <v>30321.059999999994</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220</v>
      </c>
      <c r="H64" s="17">
        <f>A64*G64</f>
        <v>14601.510000000002</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150029.67000000001</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220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220</v>
      </c>
      <c r="H73" s="17">
        <f t="shared" si="15"/>
        <v>7539.8399999999992</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7539.8399999999992</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220</v>
      </c>
      <c r="H78" s="17">
        <f>G78*A78</f>
        <v>6283.42</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6283.42</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163852.93000000002</v>
      </c>
      <c r="K81" s="62"/>
    </row>
    <row r="82" spans="1:18" s="48" customFormat="1">
      <c r="A82" s="100"/>
      <c r="B82" s="101"/>
      <c r="C82" s="101"/>
      <c r="D82" s="101"/>
      <c r="E82" s="101"/>
      <c r="F82" s="101"/>
      <c r="G82" s="101"/>
      <c r="H82" s="102"/>
    </row>
    <row r="83" spans="1:18" s="48" customFormat="1" ht="18">
      <c r="A83" s="74" t="s">
        <v>153</v>
      </c>
      <c r="B83" s="74"/>
      <c r="C83" s="74"/>
      <c r="D83" s="74"/>
      <c r="E83" s="74"/>
      <c r="F83" s="74"/>
      <c r="G83" s="74"/>
      <c r="H83" s="74"/>
      <c r="R83" s="48" t="s">
        <v>9</v>
      </c>
    </row>
    <row r="84" spans="1:18" s="58" customFormat="1" ht="15.75">
      <c r="A84" s="86"/>
      <c r="B84" s="86"/>
      <c r="C84" s="86"/>
      <c r="D84" s="86"/>
      <c r="E84" s="86"/>
      <c r="F84" s="86"/>
      <c r="G84" s="86"/>
      <c r="H84" s="86"/>
      <c r="K84" s="57"/>
      <c r="L84" s="56"/>
      <c r="N84" s="56"/>
    </row>
    <row r="85" spans="1:18" s="48" customFormat="1" ht="29.25" customHeight="1">
      <c r="A85" s="87" t="s">
        <v>132</v>
      </c>
      <c r="B85" s="87"/>
      <c r="C85" s="87"/>
      <c r="D85" s="87"/>
      <c r="E85" s="87"/>
      <c r="F85" s="87"/>
      <c r="G85" s="87"/>
      <c r="H85" s="87"/>
      <c r="J85" s="56"/>
      <c r="K85" s="57"/>
      <c r="L85" s="56"/>
      <c r="N85" s="56"/>
    </row>
    <row r="86" spans="1:18" s="52" customFormat="1" ht="15">
      <c r="A86" s="73" t="s">
        <v>10</v>
      </c>
      <c r="B86" s="50" t="s">
        <v>11</v>
      </c>
      <c r="C86" s="75" t="s">
        <v>12</v>
      </c>
      <c r="D86" s="75"/>
      <c r="E86" s="75"/>
      <c r="F86" s="75"/>
      <c r="G86" s="51" t="s">
        <v>13</v>
      </c>
      <c r="H86" s="51" t="s">
        <v>9</v>
      </c>
      <c r="I86" s="48"/>
      <c r="J86" s="56"/>
      <c r="K86" s="57"/>
      <c r="L86" s="56"/>
      <c r="N86" s="56"/>
    </row>
    <row r="87" spans="1:18" s="56" customFormat="1" ht="21.6" hidden="1" customHeight="1">
      <c r="A87" s="53">
        <v>0</v>
      </c>
      <c r="B87" s="54" t="s">
        <v>18</v>
      </c>
      <c r="C87" s="77" t="s">
        <v>28</v>
      </c>
      <c r="D87" s="78"/>
      <c r="E87" s="78"/>
      <c r="F87" s="79"/>
      <c r="G87" s="55" t="e">
        <f>#REF!</f>
        <v>#REF!</v>
      </c>
      <c r="H87" s="17" t="e">
        <f t="shared" ref="H87:H88" si="20">G87*A87</f>
        <v>#REF!</v>
      </c>
      <c r="I87" s="48"/>
      <c r="J87" s="56">
        <v>12</v>
      </c>
      <c r="K87" s="57">
        <v>0.1</v>
      </c>
      <c r="L87" s="56">
        <f t="shared" ref="L87:L88" si="21">J87*K87</f>
        <v>1.2000000000000002</v>
      </c>
      <c r="N87" s="56">
        <f t="shared" ref="N87:N88" si="22">J87+L87</f>
        <v>13.2</v>
      </c>
    </row>
    <row r="88" spans="1:18" s="56" customFormat="1" ht="21.6" customHeight="1">
      <c r="A88" s="65">
        <f t="shared" ref="A88" si="23">N88</f>
        <v>11.55</v>
      </c>
      <c r="B88" s="54" t="s">
        <v>18</v>
      </c>
      <c r="C88" s="106" t="s">
        <v>30</v>
      </c>
      <c r="D88" s="106"/>
      <c r="E88" s="106"/>
      <c r="F88" s="106"/>
      <c r="G88" s="66">
        <v>220</v>
      </c>
      <c r="H88" s="17">
        <f t="shared" si="20"/>
        <v>2541</v>
      </c>
      <c r="I88" s="48"/>
      <c r="J88" s="2">
        <v>10.5</v>
      </c>
      <c r="K88" s="57">
        <v>0.1</v>
      </c>
      <c r="L88" s="56">
        <f t="shared" si="21"/>
        <v>1.05</v>
      </c>
      <c r="N88" s="56">
        <f t="shared" si="22"/>
        <v>11.55</v>
      </c>
    </row>
    <row r="89" spans="1:18" s="58" customFormat="1" ht="15.75">
      <c r="A89" s="19">
        <f>A88</f>
        <v>11.55</v>
      </c>
      <c r="B89" s="20" t="s">
        <v>25</v>
      </c>
      <c r="C89" s="83"/>
      <c r="D89" s="83"/>
      <c r="E89" s="83"/>
      <c r="F89" s="83"/>
      <c r="G89" s="20" t="s">
        <v>26</v>
      </c>
      <c r="H89" s="22">
        <f>H88</f>
        <v>2541</v>
      </c>
      <c r="I89" s="48"/>
      <c r="J89" s="56">
        <f>SUM(J87:J88)</f>
        <v>22.5</v>
      </c>
      <c r="K89" s="57"/>
      <c r="L89" s="56"/>
      <c r="M89" s="56"/>
      <c r="N89" s="56"/>
    </row>
    <row r="90" spans="1:18" s="48" customFormat="1">
      <c r="A90" s="100"/>
      <c r="B90" s="101"/>
      <c r="C90" s="101"/>
      <c r="D90" s="101"/>
      <c r="E90" s="101"/>
      <c r="F90" s="101"/>
      <c r="G90" s="101"/>
      <c r="H90" s="102"/>
    </row>
    <row r="91" spans="1:18" s="48" customFormat="1" ht="18">
      <c r="A91" s="74" t="s">
        <v>136</v>
      </c>
      <c r="B91" s="74"/>
      <c r="C91" s="74"/>
      <c r="D91" s="74"/>
      <c r="E91" s="74"/>
      <c r="F91" s="74"/>
      <c r="G91" s="74"/>
      <c r="H91" s="74"/>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2" customFormat="1" ht="30.75" customHeight="1">
      <c r="A93" s="68">
        <f>N93</f>
        <v>43.05</v>
      </c>
      <c r="B93" s="15" t="s">
        <v>18</v>
      </c>
      <c r="C93" s="76" t="s">
        <v>135</v>
      </c>
      <c r="D93" s="76"/>
      <c r="E93" s="76"/>
      <c r="F93" s="76"/>
      <c r="G93" s="16">
        <v>220</v>
      </c>
      <c r="H93" s="17">
        <f>G93*A93</f>
        <v>9471</v>
      </c>
      <c r="I93" s="1"/>
      <c r="J93" s="2">
        <v>41</v>
      </c>
      <c r="K93" s="40">
        <v>0.05</v>
      </c>
      <c r="L93" s="2">
        <f t="shared" ref="L93" si="24">J93*K93</f>
        <v>2.0500000000000003</v>
      </c>
      <c r="N93" s="2">
        <f t="shared" ref="N93" si="25">J93+L93</f>
        <v>43.05</v>
      </c>
    </row>
    <row r="94" spans="1:18" s="58" customFormat="1" ht="15.75">
      <c r="A94" s="19">
        <f>SUM(A93:A93)</f>
        <v>43.05</v>
      </c>
      <c r="B94" s="20" t="s">
        <v>25</v>
      </c>
      <c r="C94" s="83"/>
      <c r="D94" s="83"/>
      <c r="E94" s="83"/>
      <c r="F94" s="83"/>
      <c r="G94" s="20" t="s">
        <v>26</v>
      </c>
      <c r="H94" s="22">
        <f>H93</f>
        <v>9471</v>
      </c>
      <c r="I94" s="48"/>
      <c r="J94" s="56" t="e">
        <f>J93+#REF!+#REF!+#REF!+#REF!+#REF!+#REF!+#REF!+#REF!+#REF!+#REF!+#REF!</f>
        <v>#REF!</v>
      </c>
      <c r="K94" s="57"/>
      <c r="L94" s="56"/>
      <c r="M94" s="56"/>
      <c r="N94" s="56"/>
    </row>
    <row r="95" spans="1:18" s="48" customFormat="1">
      <c r="A95" s="100"/>
      <c r="B95" s="101"/>
      <c r="C95" s="101"/>
      <c r="D95" s="101"/>
      <c r="E95" s="101"/>
      <c r="F95" s="101"/>
      <c r="G95" s="101"/>
      <c r="H95" s="102"/>
    </row>
    <row r="96" spans="1:18" s="48" customFormat="1" ht="18.75" customHeight="1">
      <c r="A96" s="60">
        <f>A89+A94</f>
        <v>54.599999999999994</v>
      </c>
      <c r="B96" s="71" t="s">
        <v>25</v>
      </c>
      <c r="C96" s="107" t="s">
        <v>134</v>
      </c>
      <c r="D96" s="107"/>
      <c r="E96" s="107"/>
      <c r="F96" s="107"/>
      <c r="G96" s="71" t="s">
        <v>26</v>
      </c>
      <c r="H96" s="61">
        <f>H94+H89</f>
        <v>12012</v>
      </c>
      <c r="K96" s="62"/>
    </row>
    <row r="97" spans="1:15" s="48" customFormat="1" ht="15.75" customHeight="1">
      <c r="A97" s="100"/>
      <c r="B97" s="101"/>
      <c r="C97" s="101"/>
      <c r="D97" s="101"/>
      <c r="E97" s="101"/>
      <c r="F97" s="101"/>
      <c r="G97" s="101"/>
      <c r="H97" s="102"/>
    </row>
    <row r="98" spans="1:15" s="48" customFormat="1" ht="18" hidden="1">
      <c r="A98" s="74" t="s">
        <v>33</v>
      </c>
      <c r="B98" s="74"/>
      <c r="C98" s="74"/>
      <c r="D98" s="74"/>
      <c r="E98" s="74"/>
      <c r="F98" s="74"/>
      <c r="G98" s="74"/>
      <c r="H98" s="74"/>
      <c r="J98" s="56"/>
      <c r="K98" s="57"/>
      <c r="L98" s="56">
        <v>90</v>
      </c>
      <c r="M98" s="48" t="e">
        <f>#REF!/L98</f>
        <v>#REF!</v>
      </c>
      <c r="N98" s="56">
        <v>30</v>
      </c>
      <c r="O98" s="48" t="e">
        <f>N98*M98</f>
        <v>#REF!</v>
      </c>
    </row>
    <row r="99" spans="1:15" s="52" customFormat="1" ht="15" hidden="1">
      <c r="A99" s="73" t="s">
        <v>10</v>
      </c>
      <c r="B99" s="50" t="s">
        <v>11</v>
      </c>
      <c r="C99" s="75" t="s">
        <v>12</v>
      </c>
      <c r="D99" s="75"/>
      <c r="E99" s="75"/>
      <c r="F99" s="75"/>
      <c r="G99" s="51" t="s">
        <v>13</v>
      </c>
      <c r="H99" s="51" t="s">
        <v>9</v>
      </c>
      <c r="I99" s="48"/>
      <c r="J99" s="56"/>
      <c r="K99" s="57"/>
      <c r="L99" s="56"/>
      <c r="N99" s="56"/>
    </row>
    <row r="100" spans="1:15" s="2" customFormat="1" ht="22.5" hidden="1" customHeight="1">
      <c r="A100" s="68">
        <v>0</v>
      </c>
      <c r="B100" s="15" t="s">
        <v>18</v>
      </c>
      <c r="C100" s="76" t="s">
        <v>34</v>
      </c>
      <c r="D100" s="76"/>
      <c r="E100" s="76"/>
      <c r="F100" s="76"/>
      <c r="G100" s="16" t="e">
        <f>#REF!</f>
        <v>#REF!</v>
      </c>
      <c r="H100" s="17" t="e">
        <f>G100*A100</f>
        <v>#REF!</v>
      </c>
      <c r="I100" s="1"/>
      <c r="J100" s="2">
        <v>25.55</v>
      </c>
      <c r="K100" s="40">
        <v>0.05</v>
      </c>
      <c r="L100" s="2">
        <f t="shared" ref="L100" si="26">J100*K100</f>
        <v>1.2775000000000001</v>
      </c>
      <c r="N100" s="2">
        <f t="shared" ref="N100" si="27">J100+L100</f>
        <v>26.827500000000001</v>
      </c>
    </row>
    <row r="101" spans="1:15" s="58" customFormat="1" ht="15.75" hidden="1">
      <c r="A101" s="19">
        <f>SUM(A100:A100)</f>
        <v>0</v>
      </c>
      <c r="B101" s="20" t="s">
        <v>25</v>
      </c>
      <c r="C101" s="83"/>
      <c r="D101" s="83"/>
      <c r="E101" s="83"/>
      <c r="F101" s="83"/>
      <c r="G101" s="20" t="s">
        <v>26</v>
      </c>
      <c r="H101" s="22" t="e">
        <f>H100</f>
        <v>#REF!</v>
      </c>
      <c r="I101" s="48"/>
      <c r="J101" s="56" t="e">
        <f>J100+#REF!+#REF!+#REF!+#REF!+J26+#REF!+J24+J23+J17+J16+J15</f>
        <v>#REF!</v>
      </c>
      <c r="K101" s="57"/>
      <c r="L101" s="56"/>
      <c r="M101" s="56"/>
      <c r="N101" s="56"/>
    </row>
    <row r="102" spans="1:15" s="48" customFormat="1" ht="15.75" hidden="1" customHeight="1">
      <c r="A102" s="100"/>
      <c r="B102" s="101"/>
      <c r="C102" s="101"/>
      <c r="D102" s="101"/>
      <c r="E102" s="101"/>
      <c r="F102" s="101"/>
      <c r="G102" s="101"/>
      <c r="H102" s="102"/>
    </row>
    <row r="103" spans="1:15" s="48" customFormat="1" ht="21.75" customHeight="1">
      <c r="A103" s="60">
        <f>A96+A81+A58+A35</f>
        <v>2304.9944999999998</v>
      </c>
      <c r="B103" s="71" t="s">
        <v>25</v>
      </c>
      <c r="C103" s="107" t="s">
        <v>92</v>
      </c>
      <c r="D103" s="107"/>
      <c r="E103" s="107"/>
      <c r="F103" s="107"/>
      <c r="G103" s="71" t="s">
        <v>26</v>
      </c>
      <c r="H103" s="61">
        <f>H96+H81+H58+H35</f>
        <v>514658.79000000004</v>
      </c>
      <c r="K103" s="62"/>
    </row>
    <row r="104" spans="1:15" s="48" customFormat="1" ht="16.5" customHeight="1">
      <c r="A104" s="108"/>
      <c r="B104" s="108"/>
      <c r="C104" s="108"/>
      <c r="D104" s="108"/>
      <c r="E104" s="108"/>
      <c r="F104" s="108"/>
      <c r="G104" s="108"/>
      <c r="H104" s="108"/>
    </row>
    <row r="105" spans="1:15" s="1" customFormat="1" ht="18">
      <c r="A105" s="109" t="s">
        <v>36</v>
      </c>
      <c r="B105" s="109"/>
      <c r="C105" s="109"/>
      <c r="D105" s="109"/>
      <c r="E105" s="109"/>
      <c r="F105" s="109"/>
      <c r="G105" s="109"/>
      <c r="H105" s="109"/>
    </row>
    <row r="106" spans="1:15" s="1" customFormat="1" ht="15">
      <c r="A106" s="72" t="s">
        <v>10</v>
      </c>
      <c r="B106" s="12" t="s">
        <v>11</v>
      </c>
      <c r="C106" s="110" t="s">
        <v>37</v>
      </c>
      <c r="D106" s="110"/>
      <c r="E106" s="110"/>
      <c r="F106" s="110"/>
      <c r="G106" s="13" t="s">
        <v>13</v>
      </c>
      <c r="H106" s="13" t="s">
        <v>9</v>
      </c>
      <c r="J106" s="1">
        <v>1700</v>
      </c>
      <c r="K106" s="1">
        <f>J106/A108</f>
        <v>22.666666666666668</v>
      </c>
    </row>
    <row r="107" spans="1:15" s="1" customFormat="1" ht="53.1" customHeight="1">
      <c r="A107" s="23">
        <v>110</v>
      </c>
      <c r="B107" s="23" t="s">
        <v>22</v>
      </c>
      <c r="C107" s="128" t="s">
        <v>38</v>
      </c>
      <c r="D107" s="129"/>
      <c r="E107" s="129"/>
      <c r="F107" s="130"/>
      <c r="G107" s="24">
        <v>360</v>
      </c>
      <c r="H107" s="25">
        <f>A107*G107</f>
        <v>39600</v>
      </c>
    </row>
    <row r="108" spans="1:15" s="1" customFormat="1" ht="38.450000000000003" customHeight="1">
      <c r="A108" s="23">
        <v>75</v>
      </c>
      <c r="B108" s="23" t="s">
        <v>22</v>
      </c>
      <c r="C108" s="131" t="s">
        <v>39</v>
      </c>
      <c r="D108" s="131"/>
      <c r="E108" s="131"/>
      <c r="F108" s="131"/>
      <c r="G108" s="24">
        <v>180</v>
      </c>
      <c r="H108" s="25">
        <f>A108*G108</f>
        <v>13500</v>
      </c>
      <c r="J108"/>
      <c r="L108"/>
    </row>
    <row r="109" spans="1:15" s="1" customFormat="1" ht="42.95" customHeight="1">
      <c r="A109" s="15">
        <v>1</v>
      </c>
      <c r="B109" s="15" t="s">
        <v>40</v>
      </c>
      <c r="C109" s="132" t="s">
        <v>41</v>
      </c>
      <c r="D109" s="133"/>
      <c r="E109" s="133"/>
      <c r="F109" s="133"/>
      <c r="G109" s="24">
        <v>9000</v>
      </c>
      <c r="H109" s="25">
        <f>A109*G109</f>
        <v>9000</v>
      </c>
      <c r="J109"/>
      <c r="L109"/>
    </row>
    <row r="110" spans="1:15" s="48" customFormat="1" ht="15.75">
      <c r="A110" s="71"/>
      <c r="B110" s="71" t="s">
        <v>17</v>
      </c>
      <c r="C110" s="107" t="s">
        <v>93</v>
      </c>
      <c r="D110" s="107"/>
      <c r="E110" s="107"/>
      <c r="F110" s="107"/>
      <c r="G110" s="27" t="s">
        <v>43</v>
      </c>
      <c r="H110" s="28">
        <f>H107+H108+H109</f>
        <v>62100</v>
      </c>
    </row>
    <row r="111" spans="1:15" s="48" customFormat="1">
      <c r="A111" s="108"/>
      <c r="B111" s="108"/>
      <c r="C111" s="108"/>
      <c r="D111" s="108"/>
      <c r="E111" s="108"/>
      <c r="F111" s="108"/>
      <c r="G111" s="108"/>
      <c r="H111" s="108"/>
      <c r="J111" s="48" t="e">
        <f>#REF!-#REF!-#REF!</f>
        <v>#REF!</v>
      </c>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38</v>
      </c>
      <c r="D114" s="129"/>
      <c r="E114" s="129"/>
      <c r="F114" s="130"/>
      <c r="G114" s="24">
        <v>360</v>
      </c>
      <c r="H114" s="25">
        <f>A114*G114</f>
        <v>39600</v>
      </c>
    </row>
    <row r="115" spans="1:12" s="1" customFormat="1" ht="38.450000000000003" customHeight="1">
      <c r="A115" s="23">
        <v>75</v>
      </c>
      <c r="B115" s="23" t="s">
        <v>22</v>
      </c>
      <c r="C115" s="131" t="s">
        <v>39</v>
      </c>
      <c r="D115" s="131"/>
      <c r="E115" s="131"/>
      <c r="F115" s="131"/>
      <c r="G115" s="24">
        <v>180</v>
      </c>
      <c r="H115" s="25">
        <f>A115*G115</f>
        <v>13500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137</v>
      </c>
      <c r="D117" s="107"/>
      <c r="E117" s="107"/>
      <c r="F117" s="107"/>
      <c r="G117" s="27" t="s">
        <v>43</v>
      </c>
      <c r="H117" s="28">
        <f>H114+H115+H116</f>
        <v>62100</v>
      </c>
    </row>
    <row r="118" spans="1:12" s="48" customFormat="1">
      <c r="A118" s="100"/>
      <c r="B118" s="101"/>
      <c r="C118" s="101"/>
      <c r="D118" s="101"/>
      <c r="E118" s="101"/>
      <c r="F118" s="101"/>
      <c r="G118" s="101"/>
      <c r="H118" s="102"/>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38</v>
      </c>
      <c r="D121" s="129"/>
      <c r="E121" s="129"/>
      <c r="F121" s="130"/>
      <c r="G121" s="24">
        <v>360</v>
      </c>
      <c r="H121" s="25">
        <f>A121*G121</f>
        <v>39600</v>
      </c>
    </row>
    <row r="122" spans="1:12" s="1" customFormat="1" ht="38.450000000000003" customHeight="1">
      <c r="A122" s="23">
        <v>75</v>
      </c>
      <c r="B122" s="23" t="s">
        <v>22</v>
      </c>
      <c r="C122" s="131" t="s">
        <v>39</v>
      </c>
      <c r="D122" s="131"/>
      <c r="E122" s="131"/>
      <c r="F122" s="131"/>
      <c r="G122" s="24">
        <v>180</v>
      </c>
      <c r="H122" s="25">
        <f>A122*G122</f>
        <v>13500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138</v>
      </c>
      <c r="D124" s="107"/>
      <c r="E124" s="107"/>
      <c r="F124" s="107"/>
      <c r="G124" s="27" t="s">
        <v>43</v>
      </c>
      <c r="H124" s="28">
        <f>H121+H122+H123</f>
        <v>62100</v>
      </c>
    </row>
    <row r="125" spans="1:12" s="48" customFormat="1">
      <c r="A125" s="100"/>
      <c r="B125" s="101"/>
      <c r="C125" s="101"/>
      <c r="D125" s="101"/>
      <c r="E125" s="101"/>
      <c r="F125" s="101"/>
      <c r="G125" s="101"/>
      <c r="H125" s="102"/>
    </row>
    <row r="126" spans="1:12" s="48" customFormat="1" ht="21.75" customHeight="1">
      <c r="A126" s="60"/>
      <c r="B126" s="71"/>
      <c r="C126" s="107" t="s">
        <v>95</v>
      </c>
      <c r="D126" s="107"/>
      <c r="E126" s="107"/>
      <c r="F126" s="107"/>
      <c r="G126" s="71" t="s">
        <v>26</v>
      </c>
      <c r="H126" s="61">
        <f>H124+H117+H110</f>
        <v>186300</v>
      </c>
      <c r="K126" s="62"/>
    </row>
    <row r="127" spans="1:12" s="48" customFormat="1">
      <c r="A127" s="100"/>
      <c r="B127" s="101"/>
      <c r="C127" s="101"/>
      <c r="D127" s="101"/>
      <c r="E127" s="101"/>
      <c r="F127" s="101"/>
      <c r="G127" s="101"/>
      <c r="H127" s="102"/>
    </row>
    <row r="128" spans="1:12" s="48" customFormat="1" ht="15" customHeight="1">
      <c r="A128" s="111" t="s">
        <v>44</v>
      </c>
      <c r="B128" s="111"/>
      <c r="C128" s="111"/>
      <c r="D128" s="111"/>
      <c r="E128" s="111"/>
      <c r="F128" s="111"/>
      <c r="G128" s="111"/>
      <c r="H128" s="111"/>
    </row>
    <row r="129" spans="1:15" s="48" customFormat="1" ht="388.5" customHeight="1">
      <c r="A129" s="112"/>
      <c r="B129" s="113"/>
      <c r="C129" s="113"/>
      <c r="D129" s="113"/>
      <c r="E129" s="113"/>
      <c r="F129" s="113"/>
      <c r="G129" s="113"/>
      <c r="H129" s="114"/>
      <c r="J129" s="63"/>
    </row>
    <row r="130" spans="1:15" s="48" customFormat="1" ht="41.25" customHeight="1">
      <c r="A130" s="115"/>
      <c r="B130" s="116"/>
      <c r="C130" s="116"/>
      <c r="D130" s="116"/>
      <c r="E130" s="116"/>
      <c r="F130" s="116"/>
      <c r="G130" s="116"/>
      <c r="H130" s="117"/>
    </row>
    <row r="131" spans="1:15" ht="28.15" customHeight="1">
      <c r="A131" s="118" t="s">
        <v>45</v>
      </c>
      <c r="B131" s="119"/>
      <c r="C131" s="119"/>
      <c r="D131" s="119"/>
      <c r="E131" s="119"/>
      <c r="F131" s="120"/>
      <c r="G131" s="29" t="s">
        <v>43</v>
      </c>
      <c r="H131" s="30">
        <f>H103+H126</f>
        <v>700958.79</v>
      </c>
      <c r="J131" s="41"/>
    </row>
    <row r="132" spans="1:15" ht="28.15" hidden="1" customHeight="1">
      <c r="A132" s="121"/>
      <c r="B132" s="122"/>
      <c r="C132" s="122"/>
      <c r="D132" s="122"/>
      <c r="E132" s="122"/>
      <c r="F132" s="123"/>
      <c r="G132" s="29" t="s">
        <v>46</v>
      </c>
      <c r="H132" s="30">
        <v>0</v>
      </c>
      <c r="J132" s="42"/>
    </row>
    <row r="133" spans="1:15" ht="23.25" customHeight="1">
      <c r="A133" s="124"/>
      <c r="B133" s="125"/>
      <c r="C133" s="125"/>
      <c r="D133" s="125"/>
      <c r="E133" s="125"/>
      <c r="F133" s="126"/>
      <c r="G133" s="31" t="s">
        <v>47</v>
      </c>
      <c r="H133" s="32">
        <f>H131-H132</f>
        <v>700958.79</v>
      </c>
      <c r="J133" s="42"/>
    </row>
    <row r="134" spans="1:15" ht="21.95" customHeight="1">
      <c r="A134" s="74" t="s">
        <v>48</v>
      </c>
      <c r="B134" s="74"/>
      <c r="C134" s="127" t="s">
        <v>163</v>
      </c>
      <c r="D134" s="127"/>
      <c r="E134" s="127"/>
      <c r="F134" s="127"/>
      <c r="G134" s="33" t="s">
        <v>49</v>
      </c>
      <c r="H134" s="34">
        <f>9000*3.5</f>
        <v>31500</v>
      </c>
      <c r="I134" s="4">
        <v>9</v>
      </c>
      <c r="J134" s="43"/>
    </row>
    <row r="135" spans="1:15" ht="21.95" customHeight="1">
      <c r="A135" s="74"/>
      <c r="B135" s="74"/>
      <c r="C135" s="127"/>
      <c r="D135" s="127"/>
      <c r="E135" s="127"/>
      <c r="F135" s="127"/>
      <c r="G135" s="31" t="s">
        <v>50</v>
      </c>
      <c r="H135" s="30">
        <f>H133+H134</f>
        <v>732458.79</v>
      </c>
      <c r="J135" s="42"/>
    </row>
    <row r="136" spans="1:15" ht="21.95" customHeight="1">
      <c r="A136" s="74"/>
      <c r="B136" s="74"/>
      <c r="C136" s="127"/>
      <c r="D136" s="127"/>
      <c r="E136" s="127"/>
      <c r="F136" s="127"/>
      <c r="G136" s="33" t="s">
        <v>51</v>
      </c>
      <c r="H136" s="34">
        <f>H135*0.16</f>
        <v>117193.40640000001</v>
      </c>
      <c r="J136" s="43">
        <v>19</v>
      </c>
      <c r="K136" s="4">
        <f>H131*J136</f>
        <v>13318217.010000002</v>
      </c>
      <c r="O136" s="44">
        <f>H137*4</f>
        <v>3398608.7856000001</v>
      </c>
    </row>
    <row r="137" spans="1:15" ht="21.95" customHeight="1">
      <c r="A137" s="74"/>
      <c r="B137" s="74"/>
      <c r="C137" s="127"/>
      <c r="D137" s="127"/>
      <c r="E137" s="127"/>
      <c r="F137" s="127"/>
      <c r="G137" s="35" t="s">
        <v>52</v>
      </c>
      <c r="H137" s="36">
        <f>H135+H136</f>
        <v>849652.19640000002</v>
      </c>
      <c r="I137" s="44">
        <f>H137/A103</f>
        <v>368.61354610607538</v>
      </c>
      <c r="J137" s="45"/>
    </row>
    <row r="138" spans="1:15">
      <c r="A138" s="88"/>
      <c r="B138" s="88"/>
      <c r="C138" s="88"/>
      <c r="D138" s="88"/>
      <c r="E138" s="88"/>
      <c r="F138" s="88"/>
      <c r="G138" s="88"/>
      <c r="H138" s="88"/>
    </row>
    <row r="139" spans="1:15" ht="31.15" customHeight="1">
      <c r="A139" s="74" t="s">
        <v>53</v>
      </c>
      <c r="B139" s="74"/>
      <c r="C139" s="74"/>
      <c r="D139" s="74"/>
      <c r="E139" s="74"/>
      <c r="F139" s="74"/>
      <c r="G139" s="74"/>
      <c r="H139" s="74"/>
      <c r="J139" s="44"/>
    </row>
    <row r="140" spans="1:15" ht="12" customHeight="1">
      <c r="A140" s="134"/>
      <c r="B140" s="134"/>
      <c r="C140" s="134"/>
      <c r="D140" s="134"/>
      <c r="E140" s="134"/>
      <c r="F140" s="134"/>
      <c r="G140" s="134"/>
      <c r="H140" s="134"/>
      <c r="K140" s="44">
        <f>H133*12</f>
        <v>8411505.4800000004</v>
      </c>
    </row>
    <row r="141" spans="1:15" ht="30.75" customHeight="1" thickBot="1">
      <c r="A141" s="135" t="s">
        <v>54</v>
      </c>
      <c r="B141" s="135"/>
      <c r="C141" s="136" t="s">
        <v>55</v>
      </c>
      <c r="D141" s="136"/>
      <c r="E141" s="136"/>
      <c r="F141" s="136"/>
      <c r="G141" s="137" t="s">
        <v>56</v>
      </c>
      <c r="H141" s="137"/>
    </row>
    <row r="142" spans="1:15" ht="19.899999999999999" customHeight="1" thickBot="1">
      <c r="A142" s="138" t="s">
        <v>57</v>
      </c>
      <c r="B142" s="138"/>
      <c r="C142" s="136" t="s">
        <v>58</v>
      </c>
      <c r="D142" s="136"/>
      <c r="E142" s="136"/>
      <c r="F142" s="136"/>
      <c r="G142" s="139"/>
      <c r="H142" s="140"/>
      <c r="K142" s="64">
        <f>H137*3</f>
        <v>2548956.5892000003</v>
      </c>
    </row>
    <row r="143" spans="1:15" ht="27.6" customHeight="1">
      <c r="A143" s="142" t="s">
        <v>59</v>
      </c>
      <c r="B143" s="143"/>
      <c r="C143" s="37" t="s">
        <v>60</v>
      </c>
      <c r="D143" s="148">
        <f>H137*0.6</f>
        <v>509791.31783999997</v>
      </c>
      <c r="E143" s="148"/>
      <c r="F143" s="148"/>
      <c r="G143" s="149"/>
      <c r="H143" s="150"/>
    </row>
    <row r="144" spans="1:15" ht="33" customHeight="1">
      <c r="A144" s="144"/>
      <c r="B144" s="145"/>
      <c r="C144" s="37" t="s">
        <v>98</v>
      </c>
      <c r="D144" s="141">
        <f>H137*0.3</f>
        <v>254895.65891999999</v>
      </c>
      <c r="E144" s="141"/>
      <c r="F144" s="141"/>
      <c r="G144" s="151"/>
      <c r="H144" s="152"/>
      <c r="J144" s="44">
        <f>H137-'[1]CTZ 8T (altura 270.7)'!H66</f>
        <v>611350.84101280011</v>
      </c>
    </row>
    <row r="145" spans="1:13" ht="39" customHeight="1">
      <c r="A145" s="144"/>
      <c r="B145" s="145"/>
      <c r="C145" s="37" t="s">
        <v>99</v>
      </c>
      <c r="D145" s="141">
        <f>H137*0.1</f>
        <v>84965.21964000001</v>
      </c>
      <c r="E145" s="141"/>
      <c r="F145" s="141"/>
      <c r="G145" s="151"/>
      <c r="H145" s="152"/>
      <c r="J145" s="44"/>
    </row>
    <row r="146" spans="1:13" ht="28.5" customHeight="1">
      <c r="A146" s="144"/>
      <c r="B146" s="145"/>
      <c r="C146" s="155" t="s">
        <v>61</v>
      </c>
      <c r="D146" s="157">
        <f>D143+D144+D145</f>
        <v>849652.19640000002</v>
      </c>
      <c r="E146" s="158"/>
      <c r="F146" s="159"/>
      <c r="G146" s="153"/>
      <c r="H146" s="154"/>
      <c r="J146" s="46"/>
      <c r="M146" s="46">
        <f>D143*8</f>
        <v>4078330.5427199998</v>
      </c>
    </row>
    <row r="147" spans="1:13" ht="5.45" hidden="1" customHeight="1">
      <c r="A147" s="146"/>
      <c r="B147" s="147"/>
      <c r="C147" s="156"/>
      <c r="D147" s="160"/>
      <c r="E147" s="161"/>
      <c r="F147" s="162"/>
      <c r="G147" s="163" t="s">
        <v>62</v>
      </c>
      <c r="H147" s="164"/>
    </row>
    <row r="148" spans="1:13" ht="24.95" customHeight="1">
      <c r="A148" s="172" t="s">
        <v>63</v>
      </c>
      <c r="B148" s="173"/>
      <c r="C148" s="38" t="s">
        <v>100</v>
      </c>
      <c r="D148" s="167"/>
      <c r="E148" s="168"/>
      <c r="F148" s="169"/>
      <c r="G148" s="165" t="s">
        <v>155</v>
      </c>
      <c r="H148" s="166"/>
      <c r="J148" s="38">
        <v>75</v>
      </c>
    </row>
    <row r="149" spans="1:13" ht="24.95" customHeight="1">
      <c r="A149" s="174"/>
      <c r="B149" s="175"/>
      <c r="C149" s="38" t="s">
        <v>101</v>
      </c>
      <c r="D149" s="167"/>
      <c r="E149" s="168"/>
      <c r="F149" s="169"/>
      <c r="G149" s="165" t="s">
        <v>103</v>
      </c>
      <c r="H149" s="166"/>
      <c r="J149" s="38">
        <v>120</v>
      </c>
      <c r="L149" s="46"/>
    </row>
    <row r="150" spans="1:13" ht="33" customHeight="1">
      <c r="A150" s="174"/>
      <c r="B150" s="175"/>
      <c r="C150" s="38" t="s">
        <v>102</v>
      </c>
      <c r="D150" s="167"/>
      <c r="E150" s="168"/>
      <c r="F150" s="169"/>
      <c r="G150" s="191" t="s">
        <v>158</v>
      </c>
      <c r="H150" s="192"/>
      <c r="J150" s="38">
        <f t="shared" ref="J150" si="28">J149+15</f>
        <v>135</v>
      </c>
      <c r="L150" s="46"/>
    </row>
    <row r="151" spans="1:13" ht="24.95" hidden="1" customHeight="1">
      <c r="A151" s="174"/>
      <c r="B151" s="175"/>
      <c r="C151" s="38" t="s">
        <v>70</v>
      </c>
      <c r="D151" s="167"/>
      <c r="E151" s="168"/>
      <c r="F151" s="169"/>
      <c r="G151" s="165" t="s">
        <v>157</v>
      </c>
      <c r="H151" s="166"/>
      <c r="J151" s="38">
        <f>J150+15</f>
        <v>150</v>
      </c>
    </row>
    <row r="152" spans="1:13" ht="24.95" hidden="1" customHeight="1">
      <c r="A152" s="174"/>
      <c r="B152" s="175"/>
      <c r="C152" s="38" t="s">
        <v>70</v>
      </c>
      <c r="D152" s="167">
        <f>H137*2</f>
        <v>1699304.3928</v>
      </c>
      <c r="E152" s="168"/>
      <c r="F152" s="169"/>
      <c r="G152" s="165" t="s">
        <v>71</v>
      </c>
      <c r="H152" s="166"/>
      <c r="J152" s="47"/>
    </row>
    <row r="153" spans="1:13" ht="24.95" hidden="1" customHeight="1">
      <c r="A153" s="174"/>
      <c r="B153" s="175"/>
      <c r="C153" s="38" t="s">
        <v>72</v>
      </c>
      <c r="D153" s="167">
        <f>H137*2</f>
        <v>1699304.3928</v>
      </c>
      <c r="E153" s="168"/>
      <c r="F153" s="169"/>
      <c r="G153" s="165" t="s">
        <v>71</v>
      </c>
      <c r="H153" s="166"/>
      <c r="J153" s="47"/>
    </row>
    <row r="154" spans="1:13" ht="24.95" hidden="1" customHeight="1">
      <c r="A154" s="176"/>
      <c r="B154" s="177"/>
      <c r="C154" s="38" t="s">
        <v>73</v>
      </c>
      <c r="D154" s="167">
        <f>H137*3</f>
        <v>2548956.5892000003</v>
      </c>
      <c r="E154" s="168"/>
      <c r="F154" s="169"/>
      <c r="G154" s="165" t="s">
        <v>74</v>
      </c>
      <c r="H154" s="166"/>
      <c r="J154" s="47"/>
    </row>
    <row r="155" spans="1:13" ht="19.149999999999999" customHeight="1">
      <c r="A155" s="135" t="s">
        <v>75</v>
      </c>
      <c r="B155" s="135"/>
      <c r="C155" s="170" t="s">
        <v>76</v>
      </c>
      <c r="D155" s="170"/>
      <c r="E155" s="170"/>
      <c r="F155" s="170"/>
      <c r="G155" s="91"/>
      <c r="H155" s="171"/>
      <c r="J155" s="46">
        <f>SUM(D149:F151)</f>
        <v>0</v>
      </c>
    </row>
    <row r="156" spans="1:13" ht="10.15" customHeight="1">
      <c r="A156" s="88"/>
      <c r="B156" s="88"/>
      <c r="C156" s="88"/>
      <c r="D156" s="88"/>
      <c r="E156" s="88"/>
      <c r="F156" s="88"/>
      <c r="G156" s="189"/>
      <c r="H156" s="189"/>
      <c r="J156" s="46"/>
      <c r="K156" s="46"/>
    </row>
    <row r="157" spans="1:13" ht="117" customHeight="1">
      <c r="A157" s="137" t="s">
        <v>77</v>
      </c>
      <c r="B157" s="137"/>
      <c r="C157" s="190" t="s">
        <v>162</v>
      </c>
      <c r="D157" s="190"/>
      <c r="E157" s="190"/>
      <c r="F157" s="190"/>
      <c r="G157" s="190"/>
      <c r="H157" s="39"/>
      <c r="J157" s="46"/>
    </row>
    <row r="158" spans="1:13" ht="27" customHeight="1">
      <c r="A158" s="137"/>
      <c r="B158" s="137"/>
      <c r="C158" s="190" t="s">
        <v>78</v>
      </c>
      <c r="D158" s="190"/>
      <c r="E158" s="190"/>
      <c r="F158" s="190"/>
      <c r="G158" s="190"/>
      <c r="H158" s="39"/>
    </row>
    <row r="159" spans="1:13" ht="67.150000000000006" customHeight="1">
      <c r="A159" s="137"/>
      <c r="B159" s="137"/>
      <c r="C159" s="190" t="s">
        <v>79</v>
      </c>
      <c r="D159" s="190"/>
      <c r="E159" s="190"/>
      <c r="F159" s="190"/>
      <c r="G159" s="190"/>
      <c r="H159" s="39"/>
    </row>
    <row r="160" spans="1:13" ht="54" customHeight="1">
      <c r="A160" s="137"/>
      <c r="B160" s="137"/>
      <c r="C160" s="190" t="s">
        <v>80</v>
      </c>
      <c r="D160" s="190"/>
      <c r="E160" s="190"/>
      <c r="F160" s="190"/>
      <c r="G160" s="190"/>
      <c r="H160" s="39"/>
    </row>
    <row r="161" spans="1:8" ht="150.75" hidden="1" customHeight="1">
      <c r="A161" s="137"/>
      <c r="B161" s="137"/>
      <c r="C161" s="181" t="s">
        <v>81</v>
      </c>
      <c r="D161" s="182"/>
      <c r="E161" s="182"/>
      <c r="F161" s="182"/>
      <c r="G161" s="183"/>
      <c r="H161" s="39"/>
    </row>
    <row r="162" spans="1:8" ht="30" customHeight="1">
      <c r="A162" s="137"/>
      <c r="B162" s="137"/>
      <c r="C162" s="190" t="s">
        <v>82</v>
      </c>
      <c r="D162" s="190"/>
      <c r="E162" s="190"/>
      <c r="F162" s="190"/>
      <c r="G162" s="190"/>
      <c r="H162" s="39"/>
    </row>
    <row r="163" spans="1:8" ht="51" customHeight="1">
      <c r="A163" s="137"/>
      <c r="B163" s="137"/>
      <c r="C163" s="190" t="s">
        <v>83</v>
      </c>
      <c r="D163" s="190"/>
      <c r="E163" s="190"/>
      <c r="F163" s="190"/>
      <c r="G163" s="190"/>
      <c r="H163" s="39"/>
    </row>
    <row r="164" spans="1:8" ht="64.5" hidden="1" customHeight="1">
      <c r="A164" s="137"/>
      <c r="B164" s="137"/>
      <c r="C164" s="181" t="s">
        <v>84</v>
      </c>
      <c r="D164" s="182"/>
      <c r="E164" s="182"/>
      <c r="F164" s="182"/>
      <c r="G164" s="183"/>
      <c r="H164" s="39"/>
    </row>
    <row r="165" spans="1:8" ht="103.5" customHeight="1">
      <c r="A165" s="137"/>
      <c r="B165" s="137"/>
      <c r="C165" s="184" t="s">
        <v>85</v>
      </c>
      <c r="D165" s="184"/>
      <c r="E165" s="184"/>
      <c r="F165" s="184"/>
      <c r="G165" s="184"/>
      <c r="H165" s="39"/>
    </row>
    <row r="166" spans="1:8" ht="24.95" customHeight="1">
      <c r="A166" s="137"/>
      <c r="B166" s="137"/>
      <c r="C166" s="184" t="s">
        <v>86</v>
      </c>
      <c r="D166" s="184"/>
      <c r="E166" s="184"/>
      <c r="F166" s="184"/>
      <c r="G166" s="184"/>
      <c r="H166" s="39"/>
    </row>
    <row r="167" spans="1:8" ht="7.9" customHeight="1">
      <c r="A167" s="185"/>
      <c r="B167" s="185"/>
      <c r="C167" s="185"/>
      <c r="D167" s="185"/>
      <c r="E167" s="185"/>
      <c r="F167" s="185"/>
      <c r="G167" s="185"/>
      <c r="H167" s="185"/>
    </row>
    <row r="168" spans="1:8" ht="30" customHeight="1">
      <c r="A168" s="185"/>
      <c r="B168" s="185"/>
      <c r="C168" s="185"/>
      <c r="D168" s="185"/>
      <c r="E168" s="185"/>
      <c r="F168" s="185"/>
      <c r="G168" s="185"/>
      <c r="H168" s="185"/>
    </row>
    <row r="169" spans="1:8" ht="30" customHeight="1">
      <c r="A169" s="185"/>
      <c r="B169" s="185"/>
      <c r="C169" s="185"/>
      <c r="D169" s="185"/>
      <c r="E169" s="185"/>
      <c r="F169" s="185"/>
      <c r="G169" s="185"/>
      <c r="H169" s="185"/>
    </row>
    <row r="170" spans="1:8" ht="24" customHeight="1">
      <c r="A170" s="185"/>
      <c r="B170" s="185"/>
      <c r="C170" s="185"/>
      <c r="D170" s="185"/>
      <c r="E170" s="185"/>
      <c r="F170" s="185"/>
      <c r="G170" s="185"/>
      <c r="H170" s="185"/>
    </row>
    <row r="171" spans="1:8" ht="43.9" customHeight="1">
      <c r="A171" s="185"/>
      <c r="B171" s="185"/>
      <c r="C171" s="185"/>
      <c r="D171" s="185"/>
      <c r="E171" s="185"/>
      <c r="F171" s="185"/>
      <c r="G171" s="185"/>
      <c r="H171" s="185"/>
    </row>
    <row r="172" spans="1:8" ht="18">
      <c r="A172" s="186" t="s">
        <v>87</v>
      </c>
      <c r="B172" s="187"/>
      <c r="C172" s="187"/>
      <c r="D172" s="187"/>
      <c r="E172" s="187"/>
      <c r="F172" s="187"/>
      <c r="G172" s="187"/>
      <c r="H172" s="188"/>
    </row>
    <row r="173" spans="1:8">
      <c r="A173" s="178" t="s">
        <v>88</v>
      </c>
      <c r="B173" s="179"/>
      <c r="C173" s="179"/>
      <c r="D173" s="179"/>
      <c r="E173" s="179"/>
      <c r="F173" s="179"/>
      <c r="G173" s="179"/>
      <c r="H173" s="180"/>
    </row>
  </sheetData>
  <mergeCells count="190">
    <mergeCell ref="A168:H171"/>
    <mergeCell ref="A172:H172"/>
    <mergeCell ref="A173:H173"/>
    <mergeCell ref="C162:G162"/>
    <mergeCell ref="C163:G163"/>
    <mergeCell ref="C164:G164"/>
    <mergeCell ref="C165:G165"/>
    <mergeCell ref="C166:G166"/>
    <mergeCell ref="A167:H167"/>
    <mergeCell ref="A155:B155"/>
    <mergeCell ref="C155:F155"/>
    <mergeCell ref="G155:H155"/>
    <mergeCell ref="A156:H156"/>
    <mergeCell ref="A157:B166"/>
    <mergeCell ref="C157:G157"/>
    <mergeCell ref="C158:G158"/>
    <mergeCell ref="C159:G159"/>
    <mergeCell ref="C160:G160"/>
    <mergeCell ref="C161:G161"/>
    <mergeCell ref="D152:F152"/>
    <mergeCell ref="G152:H152"/>
    <mergeCell ref="D153:F153"/>
    <mergeCell ref="G153:H153"/>
    <mergeCell ref="D154:F154"/>
    <mergeCell ref="G154:H154"/>
    <mergeCell ref="G147:H147"/>
    <mergeCell ref="A148:B154"/>
    <mergeCell ref="D148:F148"/>
    <mergeCell ref="G148:H148"/>
    <mergeCell ref="D149:F149"/>
    <mergeCell ref="G149:H149"/>
    <mergeCell ref="D150:F150"/>
    <mergeCell ref="G150:H150"/>
    <mergeCell ref="D151:F151"/>
    <mergeCell ref="G151:H151"/>
    <mergeCell ref="A142:B142"/>
    <mergeCell ref="C142:F142"/>
    <mergeCell ref="G142:H142"/>
    <mergeCell ref="A143:B147"/>
    <mergeCell ref="D143:F143"/>
    <mergeCell ref="G143:H146"/>
    <mergeCell ref="D144:F144"/>
    <mergeCell ref="D145:F145"/>
    <mergeCell ref="C146:C147"/>
    <mergeCell ref="D146:F147"/>
    <mergeCell ref="A138:H138"/>
    <mergeCell ref="A139:H139"/>
    <mergeCell ref="A140:H140"/>
    <mergeCell ref="A141:B141"/>
    <mergeCell ref="C141:F141"/>
    <mergeCell ref="G141:H141"/>
    <mergeCell ref="C126:F126"/>
    <mergeCell ref="A127:H127"/>
    <mergeCell ref="A128:H128"/>
    <mergeCell ref="A129:H130"/>
    <mergeCell ref="A131:F133"/>
    <mergeCell ref="A134:B137"/>
    <mergeCell ref="C134:F137"/>
    <mergeCell ref="C120:F120"/>
    <mergeCell ref="C121:F121"/>
    <mergeCell ref="C122:F122"/>
    <mergeCell ref="C123:F123"/>
    <mergeCell ref="C124:F124"/>
    <mergeCell ref="A125:H125"/>
    <mergeCell ref="C114:F114"/>
    <mergeCell ref="C115:F115"/>
    <mergeCell ref="C116:F116"/>
    <mergeCell ref="C117:F117"/>
    <mergeCell ref="A118:H118"/>
    <mergeCell ref="A119:H119"/>
    <mergeCell ref="C108:F108"/>
    <mergeCell ref="C109:F109"/>
    <mergeCell ref="C110:F110"/>
    <mergeCell ref="A111:H111"/>
    <mergeCell ref="A112:H112"/>
    <mergeCell ref="C113:F113"/>
    <mergeCell ref="A102:H102"/>
    <mergeCell ref="C103:F103"/>
    <mergeCell ref="A104:H104"/>
    <mergeCell ref="A105:H105"/>
    <mergeCell ref="C106:F106"/>
    <mergeCell ref="C107:F107"/>
    <mergeCell ref="C96:F96"/>
    <mergeCell ref="A97:H97"/>
    <mergeCell ref="A98:H98"/>
    <mergeCell ref="C99:F99"/>
    <mergeCell ref="C100:F100"/>
    <mergeCell ref="C101:F101"/>
    <mergeCell ref="A90:H90"/>
    <mergeCell ref="A91:H91"/>
    <mergeCell ref="C92:F92"/>
    <mergeCell ref="C93:F93"/>
    <mergeCell ref="C94:F94"/>
    <mergeCell ref="A95:H95"/>
    <mergeCell ref="A84:H84"/>
    <mergeCell ref="A85:H85"/>
    <mergeCell ref="C86:F86"/>
    <mergeCell ref="C87:F87"/>
    <mergeCell ref="C88:F88"/>
    <mergeCell ref="C89:F89"/>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7771C419-37AA-40C7-A517-6C5C954B06A9}"/>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03" max="7" man="1"/>
    <brk id="126" max="7" man="1"/>
    <brk id="130" max="7" man="1"/>
    <brk id="155" max="7" man="1"/>
    <brk id="173" max="16383" man="1"/>
  </row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73C1-7E62-47A0-953A-A5A11CF054F0}">
  <dimension ref="A1"/>
  <sheetViews>
    <sheetView workbookViewId="0"/>
  </sheetViews>
  <sheetFormatPr baseColWidth="10" defaultRowHeight="12.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3F00-4588-44C4-83CA-3D5E2DD82F83}">
  <dimension ref="A1:R100"/>
  <sheetViews>
    <sheetView view="pageBreakPreview" topLeftCell="A58" zoomScale="85" zoomScaleNormal="80" zoomScaleSheetLayoutView="85" workbookViewId="0">
      <selection activeCell="C86" sqref="C86:G86"/>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1.8554687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164</v>
      </c>
    </row>
    <row r="3" spans="1:18" ht="25.15" customHeight="1">
      <c r="A3" s="93" t="s">
        <v>3</v>
      </c>
      <c r="B3" s="93"/>
      <c r="C3" s="94" t="s">
        <v>4</v>
      </c>
      <c r="D3" s="94"/>
      <c r="E3" s="94"/>
      <c r="F3" s="94"/>
      <c r="G3" s="94"/>
      <c r="H3" s="94"/>
    </row>
    <row r="4" spans="1:18" ht="48" customHeight="1">
      <c r="A4" s="93" t="s">
        <v>5</v>
      </c>
      <c r="B4" s="93"/>
      <c r="C4" s="97" t="s">
        <v>165</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105</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270</v>
      </c>
    </row>
    <row r="11" spans="1:18" s="2" customFormat="1" ht="21.95" customHeight="1">
      <c r="A11" s="14">
        <f>N11</f>
        <v>466.30500000000001</v>
      </c>
      <c r="B11" s="15" t="s">
        <v>18</v>
      </c>
      <c r="C11" s="76" t="s">
        <v>19</v>
      </c>
      <c r="D11" s="76"/>
      <c r="E11" s="76"/>
      <c r="F11" s="76"/>
      <c r="G11" s="16">
        <f>R10</f>
        <v>270</v>
      </c>
      <c r="H11" s="17">
        <f>G11*A11</f>
        <v>125902.35</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270</v>
      </c>
      <c r="H12" s="17">
        <f>A12*G12</f>
        <v>37212.209999999992</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270</v>
      </c>
      <c r="H13" s="17">
        <f>A13*G13</f>
        <v>17920.035000000003</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183554.595</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106</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270</v>
      </c>
      <c r="H21" s="17">
        <f t="shared" ref="H21:H23" si="1">G21*A21</f>
        <v>0</v>
      </c>
      <c r="I21" s="48"/>
      <c r="J21" s="56">
        <v>12</v>
      </c>
      <c r="K21" s="57">
        <v>0.1</v>
      </c>
      <c r="L21" s="56">
        <f t="shared" ref="L21:L23" si="2">J21*K21</f>
        <v>1.2000000000000002</v>
      </c>
      <c r="N21" s="56">
        <f t="shared" ref="N21:N23" si="3">J21+L21</f>
        <v>13.2</v>
      </c>
    </row>
    <row r="22" spans="1:14" s="56" customFormat="1" ht="21.6" customHeight="1">
      <c r="A22" s="53">
        <f>N22</f>
        <v>34.271999999999998</v>
      </c>
      <c r="B22" s="54" t="s">
        <v>18</v>
      </c>
      <c r="C22" s="80" t="s">
        <v>29</v>
      </c>
      <c r="D22" s="80"/>
      <c r="E22" s="80"/>
      <c r="F22" s="80"/>
      <c r="G22" s="55">
        <f>R10</f>
        <v>270</v>
      </c>
      <c r="H22" s="17">
        <f t="shared" si="1"/>
        <v>9253.4399999999987</v>
      </c>
      <c r="I22" s="48"/>
      <c r="J22" s="2">
        <v>32.64</v>
      </c>
      <c r="K22" s="57">
        <v>0.05</v>
      </c>
      <c r="L22" s="56">
        <f t="shared" si="2"/>
        <v>1.6320000000000001</v>
      </c>
      <c r="N22" s="56">
        <f t="shared" si="3"/>
        <v>34.271999999999998</v>
      </c>
    </row>
    <row r="23" spans="1:14" s="56" customFormat="1" ht="21.6" customHeight="1">
      <c r="A23" s="65">
        <f t="shared" ref="A23" si="4">N23</f>
        <v>11.55</v>
      </c>
      <c r="B23" s="54" t="s">
        <v>18</v>
      </c>
      <c r="C23" s="106" t="s">
        <v>30</v>
      </c>
      <c r="D23" s="106"/>
      <c r="E23" s="106"/>
      <c r="F23" s="106"/>
      <c r="G23" s="66">
        <f>R10</f>
        <v>270</v>
      </c>
      <c r="H23" s="17">
        <f t="shared" si="1"/>
        <v>3118.5</v>
      </c>
      <c r="I23" s="48"/>
      <c r="J23" s="2">
        <v>10.5</v>
      </c>
      <c r="K23" s="57">
        <v>0.1</v>
      </c>
      <c r="L23" s="56">
        <f t="shared" si="2"/>
        <v>1.05</v>
      </c>
      <c r="N23" s="56">
        <f t="shared" si="3"/>
        <v>11.55</v>
      </c>
    </row>
    <row r="24" spans="1:14" s="58" customFormat="1" ht="15.75">
      <c r="A24" s="19">
        <f>A22+A23</f>
        <v>45.822000000000003</v>
      </c>
      <c r="B24" s="20" t="s">
        <v>25</v>
      </c>
      <c r="C24" s="83"/>
      <c r="D24" s="83"/>
      <c r="E24" s="83"/>
      <c r="F24" s="83"/>
      <c r="G24" s="20" t="s">
        <v>26</v>
      </c>
      <c r="H24" s="22">
        <f>H22+H23</f>
        <v>12371.939999999999</v>
      </c>
      <c r="I24" s="48"/>
      <c r="J24" s="56">
        <f>SUM(J21:J23)</f>
        <v>55.14</v>
      </c>
      <c r="K24" s="57"/>
      <c r="L24" s="56"/>
      <c r="M24" s="56"/>
      <c r="N24" s="56"/>
    </row>
    <row r="25" spans="1:14" s="48" customFormat="1">
      <c r="A25" s="100"/>
      <c r="B25" s="101"/>
      <c r="C25" s="101"/>
      <c r="D25" s="101"/>
      <c r="E25" s="101"/>
      <c r="F25" s="101"/>
      <c r="G25" s="101"/>
      <c r="H25" s="102"/>
    </row>
    <row r="26" spans="1:14" s="48" customFormat="1" ht="18">
      <c r="A26" s="74" t="s">
        <v>107</v>
      </c>
      <c r="B26" s="74"/>
      <c r="C26" s="74"/>
      <c r="D26" s="74"/>
      <c r="E26" s="74"/>
      <c r="F26" s="74"/>
      <c r="G26" s="74"/>
      <c r="H26" s="74"/>
      <c r="J26" s="56" t="e">
        <f>#REF!+J23</f>
        <v>#REF!</v>
      </c>
      <c r="K26" s="57"/>
      <c r="L26" s="56"/>
      <c r="N26" s="56"/>
    </row>
    <row r="27" spans="1:14" s="52" customFormat="1" ht="15">
      <c r="A27" s="73" t="s">
        <v>10</v>
      </c>
      <c r="B27" s="50" t="s">
        <v>11</v>
      </c>
      <c r="C27" s="75" t="s">
        <v>12</v>
      </c>
      <c r="D27" s="75"/>
      <c r="E27" s="75"/>
      <c r="F27" s="75"/>
      <c r="G27" s="51" t="s">
        <v>13</v>
      </c>
      <c r="H27" s="51" t="s">
        <v>9</v>
      </c>
      <c r="I27" s="48"/>
      <c r="J27" s="56"/>
      <c r="K27" s="57"/>
      <c r="L27" s="56"/>
      <c r="N27" s="56"/>
    </row>
    <row r="28" spans="1:14" s="56" customFormat="1" ht="36.6" customHeight="1">
      <c r="A28" s="67">
        <f>N28</f>
        <v>28.561</v>
      </c>
      <c r="B28" s="59" t="s">
        <v>18</v>
      </c>
      <c r="C28" s="103" t="s">
        <v>31</v>
      </c>
      <c r="D28" s="104"/>
      <c r="E28" s="104"/>
      <c r="F28" s="105"/>
      <c r="G28" s="55">
        <f>R10</f>
        <v>270</v>
      </c>
      <c r="H28" s="17">
        <f>G28*A28</f>
        <v>7711.47</v>
      </c>
      <c r="I28" s="48"/>
      <c r="J28" s="56">
        <v>21.97</v>
      </c>
      <c r="K28" s="57">
        <v>0.3</v>
      </c>
      <c r="L28" s="56">
        <f t="shared" ref="L28" si="5">J28*K28</f>
        <v>6.5909999999999993</v>
      </c>
      <c r="N28" s="56">
        <f t="shared" ref="N28" si="6">J28+L28</f>
        <v>28.561</v>
      </c>
    </row>
    <row r="29" spans="1:14" s="58" customFormat="1" ht="15.75">
      <c r="A29" s="19">
        <f>A28</f>
        <v>28.561</v>
      </c>
      <c r="B29" s="20" t="s">
        <v>25</v>
      </c>
      <c r="C29" s="83"/>
      <c r="D29" s="83"/>
      <c r="E29" s="83"/>
      <c r="F29" s="83"/>
      <c r="G29" s="20" t="s">
        <v>26</v>
      </c>
      <c r="H29" s="21">
        <f>H28</f>
        <v>7711.47</v>
      </c>
      <c r="I29" s="48"/>
      <c r="J29" s="56">
        <f>SUM(J28:J28)</f>
        <v>21.97</v>
      </c>
      <c r="K29" s="57"/>
      <c r="L29" s="56"/>
      <c r="M29" s="56"/>
      <c r="N29" s="56"/>
    </row>
    <row r="30" spans="1:14" s="48" customFormat="1">
      <c r="A30" s="100"/>
      <c r="B30" s="101"/>
      <c r="C30" s="101"/>
      <c r="D30" s="101"/>
      <c r="E30" s="101"/>
      <c r="F30" s="101"/>
      <c r="G30" s="101"/>
      <c r="H30" s="102"/>
    </row>
    <row r="31" spans="1:14" s="48" customFormat="1" ht="18">
      <c r="A31" s="74" t="s">
        <v>108</v>
      </c>
      <c r="B31" s="74"/>
      <c r="C31" s="74"/>
      <c r="D31" s="74"/>
      <c r="E31" s="74"/>
      <c r="F31" s="74"/>
      <c r="G31" s="74"/>
      <c r="H31" s="74"/>
      <c r="J31" s="56"/>
      <c r="K31" s="57"/>
      <c r="L31" s="56"/>
      <c r="N31" s="56"/>
    </row>
    <row r="32" spans="1:14" s="52" customFormat="1" ht="15">
      <c r="A32" s="73" t="s">
        <v>10</v>
      </c>
      <c r="B32" s="50" t="s">
        <v>11</v>
      </c>
      <c r="C32" s="75" t="s">
        <v>12</v>
      </c>
      <c r="D32" s="75"/>
      <c r="E32" s="75"/>
      <c r="F32" s="75"/>
      <c r="G32" s="51" t="s">
        <v>13</v>
      </c>
      <c r="H32" s="51" t="s">
        <v>9</v>
      </c>
      <c r="I32" s="48"/>
      <c r="J32" s="56"/>
      <c r="K32" s="57"/>
      <c r="L32" s="56"/>
      <c r="N32" s="56"/>
    </row>
    <row r="33" spans="1:15" s="56" customFormat="1" ht="22.5" customHeight="1">
      <c r="A33" s="53">
        <f>N33</f>
        <v>50.4</v>
      </c>
      <c r="B33" s="54" t="s">
        <v>18</v>
      </c>
      <c r="C33" s="76" t="s">
        <v>32</v>
      </c>
      <c r="D33" s="76"/>
      <c r="E33" s="76"/>
      <c r="F33" s="76"/>
      <c r="G33" s="55">
        <f>R10</f>
        <v>270</v>
      </c>
      <c r="H33" s="17">
        <f>G33*A33</f>
        <v>13608</v>
      </c>
      <c r="I33" s="48"/>
      <c r="J33" s="56">
        <v>48</v>
      </c>
      <c r="K33" s="57">
        <v>0.05</v>
      </c>
      <c r="L33" s="56">
        <f t="shared" ref="L33" si="7">J33*K33</f>
        <v>2.4000000000000004</v>
      </c>
      <c r="N33" s="56">
        <f t="shared" ref="N33" si="8">J33+L33</f>
        <v>50.4</v>
      </c>
    </row>
    <row r="34" spans="1:15" s="58" customFormat="1" ht="15.75">
      <c r="A34" s="19">
        <f>SUM(A33:A33)</f>
        <v>50.4</v>
      </c>
      <c r="B34" s="20" t="s">
        <v>25</v>
      </c>
      <c r="C34" s="83"/>
      <c r="D34" s="83"/>
      <c r="E34" s="83"/>
      <c r="F34" s="83"/>
      <c r="G34" s="20"/>
      <c r="H34" s="22">
        <f>H33</f>
        <v>13608</v>
      </c>
      <c r="I34" s="48"/>
      <c r="J34" s="56"/>
      <c r="K34" s="57"/>
      <c r="L34" s="56"/>
      <c r="M34" s="56"/>
      <c r="N34" s="56"/>
    </row>
    <row r="35" spans="1:15" s="48" customFormat="1">
      <c r="A35" s="100"/>
      <c r="B35" s="101"/>
      <c r="C35" s="101"/>
      <c r="D35" s="101"/>
      <c r="E35" s="101"/>
      <c r="F35" s="101"/>
      <c r="G35" s="101"/>
      <c r="H35" s="102"/>
    </row>
    <row r="36" spans="1:15" s="48" customFormat="1" ht="18">
      <c r="A36" s="74" t="s">
        <v>109</v>
      </c>
      <c r="B36" s="74"/>
      <c r="C36" s="74"/>
      <c r="D36" s="74"/>
      <c r="E36" s="74"/>
      <c r="F36" s="74"/>
      <c r="G36" s="74"/>
      <c r="H36" s="74"/>
      <c r="J36" s="56"/>
      <c r="K36" s="57"/>
      <c r="L36" s="56"/>
      <c r="N36" s="56"/>
    </row>
    <row r="37" spans="1:15" s="52" customFormat="1" ht="15">
      <c r="A37" s="73" t="s">
        <v>10</v>
      </c>
      <c r="B37" s="50" t="s">
        <v>11</v>
      </c>
      <c r="C37" s="75" t="s">
        <v>12</v>
      </c>
      <c r="D37" s="75"/>
      <c r="E37" s="75"/>
      <c r="F37" s="75"/>
      <c r="G37" s="51" t="s">
        <v>13</v>
      </c>
      <c r="H37" s="51" t="s">
        <v>9</v>
      </c>
      <c r="I37" s="48"/>
      <c r="J37" s="56"/>
      <c r="K37" s="57"/>
      <c r="L37" s="56"/>
      <c r="N37" s="56"/>
    </row>
    <row r="38" spans="1:15" s="2" customFormat="1" ht="30.75" customHeight="1">
      <c r="A38" s="68">
        <f>N38</f>
        <v>43.05</v>
      </c>
      <c r="B38" s="15" t="s">
        <v>18</v>
      </c>
      <c r="C38" s="76" t="s">
        <v>135</v>
      </c>
      <c r="D38" s="76"/>
      <c r="E38" s="76"/>
      <c r="F38" s="76"/>
      <c r="G38" s="16">
        <f>R10</f>
        <v>270</v>
      </c>
      <c r="H38" s="17">
        <f>G38*A38</f>
        <v>11623.5</v>
      </c>
      <c r="I38" s="1"/>
      <c r="J38" s="2">
        <v>41</v>
      </c>
      <c r="K38" s="40">
        <v>0.05</v>
      </c>
      <c r="L38" s="2">
        <f t="shared" ref="L38" si="9">J38*K38</f>
        <v>2.0500000000000003</v>
      </c>
      <c r="N38" s="2">
        <f t="shared" ref="N38" si="10">J38+L38</f>
        <v>43.05</v>
      </c>
    </row>
    <row r="39" spans="1:15" s="58" customFormat="1" ht="15.75">
      <c r="A39" s="19">
        <f>SUM(A38:A38)</f>
        <v>43.05</v>
      </c>
      <c r="B39" s="20" t="s">
        <v>25</v>
      </c>
      <c r="C39" s="83"/>
      <c r="D39" s="83"/>
      <c r="E39" s="83"/>
      <c r="F39" s="83"/>
      <c r="G39" s="20" t="s">
        <v>26</v>
      </c>
      <c r="H39" s="22">
        <f>H38</f>
        <v>11623.5</v>
      </c>
      <c r="I39" s="48"/>
      <c r="J39" s="56" t="e">
        <f>J38+#REF!+#REF!+#REF!+J28+J23+#REF!+J22+J21+J13+J12+J11</f>
        <v>#REF!</v>
      </c>
      <c r="K39" s="57"/>
      <c r="L39" s="56"/>
      <c r="M39" s="56"/>
      <c r="N39" s="56"/>
    </row>
    <row r="40" spans="1:15" s="48" customFormat="1" ht="15.75" customHeight="1">
      <c r="A40" s="100"/>
      <c r="B40" s="101"/>
      <c r="C40" s="101"/>
      <c r="D40" s="101"/>
      <c r="E40" s="101"/>
      <c r="F40" s="101"/>
      <c r="G40" s="101"/>
      <c r="H40" s="102"/>
    </row>
    <row r="41" spans="1:15" s="48" customFormat="1" ht="18" hidden="1">
      <c r="A41" s="74" t="s">
        <v>33</v>
      </c>
      <c r="B41" s="74"/>
      <c r="C41" s="74"/>
      <c r="D41" s="74"/>
      <c r="E41" s="74"/>
      <c r="F41" s="74"/>
      <c r="G41" s="74"/>
      <c r="H41" s="74"/>
      <c r="J41" s="56"/>
      <c r="K41" s="57"/>
      <c r="L41" s="56">
        <v>90</v>
      </c>
      <c r="M41" s="48">
        <f>A38/L41</f>
        <v>0.47833333333333328</v>
      </c>
      <c r="N41" s="56">
        <v>30</v>
      </c>
      <c r="O41" s="48">
        <f>N41*M41</f>
        <v>14.349999999999998</v>
      </c>
    </row>
    <row r="42" spans="1:15" s="52" customFormat="1" ht="15" hidden="1">
      <c r="A42" s="73" t="s">
        <v>10</v>
      </c>
      <c r="B42" s="50" t="s">
        <v>11</v>
      </c>
      <c r="C42" s="75" t="s">
        <v>12</v>
      </c>
      <c r="D42" s="75"/>
      <c r="E42" s="75"/>
      <c r="F42" s="75"/>
      <c r="G42" s="51" t="s">
        <v>13</v>
      </c>
      <c r="H42" s="51" t="s">
        <v>9</v>
      </c>
      <c r="I42" s="48"/>
      <c r="J42" s="56"/>
      <c r="K42" s="57"/>
      <c r="L42" s="56"/>
      <c r="N42" s="56"/>
    </row>
    <row r="43" spans="1:15" s="2" customFormat="1" ht="22.5" hidden="1" customHeight="1">
      <c r="A43" s="68">
        <v>0</v>
      </c>
      <c r="B43" s="15" t="s">
        <v>18</v>
      </c>
      <c r="C43" s="76" t="s">
        <v>34</v>
      </c>
      <c r="D43" s="76"/>
      <c r="E43" s="76"/>
      <c r="F43" s="76"/>
      <c r="G43" s="16">
        <f>G38</f>
        <v>270</v>
      </c>
      <c r="H43" s="17">
        <f>G43*A43</f>
        <v>0</v>
      </c>
      <c r="I43" s="1"/>
      <c r="J43" s="2">
        <v>25.55</v>
      </c>
      <c r="K43" s="40">
        <v>0.05</v>
      </c>
      <c r="L43" s="2">
        <f t="shared" ref="L43" si="11">J43*K43</f>
        <v>1.2775000000000001</v>
      </c>
      <c r="N43" s="2">
        <f t="shared" ref="N43" si="12">J43+L43</f>
        <v>26.827500000000001</v>
      </c>
    </row>
    <row r="44" spans="1:15" s="58" customFormat="1" ht="15.75" hidden="1">
      <c r="A44" s="19">
        <f>SUM(A43:A43)</f>
        <v>0</v>
      </c>
      <c r="B44" s="20" t="s">
        <v>25</v>
      </c>
      <c r="C44" s="83"/>
      <c r="D44" s="83"/>
      <c r="E44" s="83"/>
      <c r="F44" s="83"/>
      <c r="G44" s="20" t="s">
        <v>26</v>
      </c>
      <c r="H44" s="22">
        <f>H43</f>
        <v>0</v>
      </c>
      <c r="I44" s="48"/>
      <c r="J44" s="56" t="e">
        <f>J43+#REF!+J38+#REF!+#REF!+J27+#REF!+J25+J24+J17+J16+J15</f>
        <v>#REF!</v>
      </c>
      <c r="K44" s="57"/>
      <c r="L44" s="56"/>
      <c r="M44" s="56"/>
      <c r="N44" s="56"/>
    </row>
    <row r="45" spans="1:15" s="48" customFormat="1" ht="15.75" hidden="1" customHeight="1">
      <c r="A45" s="100"/>
      <c r="B45" s="101"/>
      <c r="C45" s="101"/>
      <c r="D45" s="101"/>
      <c r="E45" s="101"/>
      <c r="F45" s="101"/>
      <c r="G45" s="101"/>
      <c r="H45" s="102"/>
    </row>
    <row r="46" spans="1:15" s="48" customFormat="1" ht="21.75" customHeight="1">
      <c r="A46" s="60">
        <f>A39+A34+A29+A24+A16</f>
        <v>838.33149999999989</v>
      </c>
      <c r="B46" s="71" t="s">
        <v>25</v>
      </c>
      <c r="C46" s="107" t="s">
        <v>35</v>
      </c>
      <c r="D46" s="107"/>
      <c r="E46" s="107"/>
      <c r="F46" s="107"/>
      <c r="G46" s="71" t="s">
        <v>26</v>
      </c>
      <c r="H46" s="61">
        <f>H39+H34+H29+H24+H16</f>
        <v>228869.505</v>
      </c>
      <c r="K46" s="62"/>
    </row>
    <row r="47" spans="1:15" s="48" customFormat="1" ht="21.75" customHeight="1">
      <c r="A47" s="108"/>
      <c r="B47" s="108"/>
      <c r="C47" s="108"/>
      <c r="D47" s="108"/>
      <c r="E47" s="108"/>
      <c r="F47" s="108"/>
      <c r="G47" s="108"/>
      <c r="H47" s="108"/>
    </row>
    <row r="48" spans="1:15" s="1" customFormat="1" ht="18">
      <c r="A48" s="109" t="s">
        <v>36</v>
      </c>
      <c r="B48" s="109"/>
      <c r="C48" s="109"/>
      <c r="D48" s="109"/>
      <c r="E48" s="109"/>
      <c r="F48" s="109"/>
      <c r="G48" s="109"/>
      <c r="H48" s="109"/>
    </row>
    <row r="49" spans="1:15" s="1" customFormat="1" ht="15">
      <c r="A49" s="72" t="s">
        <v>10</v>
      </c>
      <c r="B49" s="12" t="s">
        <v>11</v>
      </c>
      <c r="C49" s="110" t="s">
        <v>37</v>
      </c>
      <c r="D49" s="110"/>
      <c r="E49" s="110"/>
      <c r="F49" s="110"/>
      <c r="G49" s="13" t="s">
        <v>13</v>
      </c>
      <c r="H49" s="13" t="s">
        <v>9</v>
      </c>
      <c r="J49" s="1">
        <v>1700</v>
      </c>
      <c r="K49" s="1">
        <f>J49/A51</f>
        <v>22.666666666666668</v>
      </c>
    </row>
    <row r="50" spans="1:15" s="1" customFormat="1" ht="53.1" customHeight="1">
      <c r="A50" s="23">
        <v>110</v>
      </c>
      <c r="B50" s="23" t="s">
        <v>22</v>
      </c>
      <c r="C50" s="128" t="s">
        <v>89</v>
      </c>
      <c r="D50" s="129"/>
      <c r="E50" s="129"/>
      <c r="F50" s="130"/>
      <c r="G50" s="24">
        <v>120</v>
      </c>
      <c r="H50" s="25">
        <f>A50*G50</f>
        <v>13200</v>
      </c>
    </row>
    <row r="51" spans="1:15" s="1" customFormat="1" ht="38.450000000000003" customHeight="1">
      <c r="A51" s="23">
        <v>75</v>
      </c>
      <c r="B51" s="23" t="s">
        <v>22</v>
      </c>
      <c r="C51" s="131" t="s">
        <v>90</v>
      </c>
      <c r="D51" s="131"/>
      <c r="E51" s="131"/>
      <c r="F51" s="131"/>
      <c r="G51" s="24">
        <v>60</v>
      </c>
      <c r="H51" s="25">
        <f>A51*G51</f>
        <v>4500</v>
      </c>
      <c r="J51"/>
      <c r="L51"/>
    </row>
    <row r="52" spans="1:15" s="1" customFormat="1" ht="42.95" customHeight="1">
      <c r="A52" s="15">
        <v>1</v>
      </c>
      <c r="B52" s="15" t="s">
        <v>40</v>
      </c>
      <c r="C52" s="132" t="s">
        <v>41</v>
      </c>
      <c r="D52" s="133"/>
      <c r="E52" s="133"/>
      <c r="F52" s="133"/>
      <c r="G52" s="24">
        <v>9000</v>
      </c>
      <c r="H52" s="25">
        <f>A52*G52</f>
        <v>9000</v>
      </c>
      <c r="J52"/>
      <c r="L52"/>
    </row>
    <row r="53" spans="1:15" s="48" customFormat="1" ht="15.75">
      <c r="A53" s="71"/>
      <c r="B53" s="71" t="s">
        <v>17</v>
      </c>
      <c r="C53" s="107" t="s">
        <v>42</v>
      </c>
      <c r="D53" s="107"/>
      <c r="E53" s="107"/>
      <c r="F53" s="107"/>
      <c r="G53" s="27" t="s">
        <v>43</v>
      </c>
      <c r="H53" s="28">
        <f>H50+H51+H52</f>
        <v>26700</v>
      </c>
    </row>
    <row r="54" spans="1:15" s="48" customFormat="1">
      <c r="A54" s="108"/>
      <c r="B54" s="108"/>
      <c r="C54" s="108"/>
      <c r="D54" s="108"/>
      <c r="E54" s="108"/>
      <c r="F54" s="108"/>
      <c r="G54" s="108"/>
      <c r="H54" s="108"/>
      <c r="J54" s="48" t="e">
        <f>J39-J38-#REF!</f>
        <v>#REF!</v>
      </c>
    </row>
    <row r="55" spans="1:15" s="48" customFormat="1" ht="15" customHeight="1">
      <c r="A55" s="111" t="s">
        <v>44</v>
      </c>
      <c r="B55" s="111"/>
      <c r="C55" s="111"/>
      <c r="D55" s="111"/>
      <c r="E55" s="111"/>
      <c r="F55" s="111"/>
      <c r="G55" s="111"/>
      <c r="H55" s="111"/>
    </row>
    <row r="56" spans="1:15" s="48" customFormat="1" ht="388.5" customHeight="1">
      <c r="A56" s="112"/>
      <c r="B56" s="113"/>
      <c r="C56" s="113"/>
      <c r="D56" s="113"/>
      <c r="E56" s="113"/>
      <c r="F56" s="113"/>
      <c r="G56" s="113"/>
      <c r="H56" s="114"/>
      <c r="J56" s="63"/>
    </row>
    <row r="57" spans="1:15" s="48" customFormat="1" ht="41.25" customHeight="1">
      <c r="A57" s="115"/>
      <c r="B57" s="116"/>
      <c r="C57" s="116"/>
      <c r="D57" s="116"/>
      <c r="E57" s="116"/>
      <c r="F57" s="116"/>
      <c r="G57" s="116"/>
      <c r="H57" s="117"/>
    </row>
    <row r="58" spans="1:15" ht="28.15" customHeight="1">
      <c r="A58" s="118" t="s">
        <v>45</v>
      </c>
      <c r="B58" s="119"/>
      <c r="C58" s="119"/>
      <c r="D58" s="119"/>
      <c r="E58" s="119"/>
      <c r="F58" s="120"/>
      <c r="G58" s="29" t="s">
        <v>43</v>
      </c>
      <c r="H58" s="30">
        <f>H46+H53</f>
        <v>255569.505</v>
      </c>
      <c r="J58" s="41"/>
    </row>
    <row r="59" spans="1:15" ht="28.15" hidden="1" customHeight="1">
      <c r="A59" s="121"/>
      <c r="B59" s="122"/>
      <c r="C59" s="122"/>
      <c r="D59" s="122"/>
      <c r="E59" s="122"/>
      <c r="F59" s="123"/>
      <c r="G59" s="29" t="s">
        <v>46</v>
      </c>
      <c r="H59" s="30">
        <v>0</v>
      </c>
      <c r="J59" s="42"/>
    </row>
    <row r="60" spans="1:15" ht="23.25" customHeight="1">
      <c r="A60" s="124"/>
      <c r="B60" s="125"/>
      <c r="C60" s="125"/>
      <c r="D60" s="125"/>
      <c r="E60" s="125"/>
      <c r="F60" s="126"/>
      <c r="G60" s="31" t="s">
        <v>47</v>
      </c>
      <c r="H60" s="32">
        <f>H58-H59</f>
        <v>255569.505</v>
      </c>
      <c r="J60" s="42"/>
    </row>
    <row r="61" spans="1:15" ht="21.95" customHeight="1">
      <c r="A61" s="74" t="s">
        <v>48</v>
      </c>
      <c r="B61" s="74"/>
      <c r="C61" s="127" t="s">
        <v>167</v>
      </c>
      <c r="D61" s="127"/>
      <c r="E61" s="127"/>
      <c r="F61" s="127"/>
      <c r="G61" s="33" t="s">
        <v>49</v>
      </c>
      <c r="H61" s="34">
        <v>9000</v>
      </c>
      <c r="I61" s="4">
        <v>9</v>
      </c>
      <c r="J61" s="43"/>
    </row>
    <row r="62" spans="1:15" ht="21.95" customHeight="1">
      <c r="A62" s="74"/>
      <c r="B62" s="74"/>
      <c r="C62" s="127"/>
      <c r="D62" s="127"/>
      <c r="E62" s="127"/>
      <c r="F62" s="127"/>
      <c r="G62" s="31" t="s">
        <v>50</v>
      </c>
      <c r="H62" s="30">
        <f>H60+H61</f>
        <v>264569.505</v>
      </c>
      <c r="J62" s="42"/>
    </row>
    <row r="63" spans="1:15" ht="21.95" customHeight="1">
      <c r="A63" s="74"/>
      <c r="B63" s="74"/>
      <c r="C63" s="127"/>
      <c r="D63" s="127"/>
      <c r="E63" s="127"/>
      <c r="F63" s="127"/>
      <c r="G63" s="33" t="s">
        <v>51</v>
      </c>
      <c r="H63" s="34">
        <f>H62*0.16</f>
        <v>42331.120800000004</v>
      </c>
      <c r="J63" s="43">
        <v>19</v>
      </c>
      <c r="K63" s="4">
        <f>H58*J63</f>
        <v>4855820.5949999997</v>
      </c>
      <c r="O63" s="44">
        <f>H64*4</f>
        <v>1227602.5032000002</v>
      </c>
    </row>
    <row r="64" spans="1:15" ht="21.95" customHeight="1">
      <c r="A64" s="74"/>
      <c r="B64" s="74"/>
      <c r="C64" s="127"/>
      <c r="D64" s="127"/>
      <c r="E64" s="127"/>
      <c r="F64" s="127"/>
      <c r="G64" s="35" t="s">
        <v>52</v>
      </c>
      <c r="H64" s="36">
        <f>H62+H63</f>
        <v>306900.62580000004</v>
      </c>
      <c r="I64" s="44">
        <f>H64/A46</f>
        <v>366.08504607067738</v>
      </c>
      <c r="J64" s="45"/>
    </row>
    <row r="65" spans="1:13">
      <c r="A65" s="88"/>
      <c r="B65" s="88"/>
      <c r="C65" s="88"/>
      <c r="D65" s="88"/>
      <c r="E65" s="88"/>
      <c r="F65" s="88"/>
      <c r="G65" s="88"/>
      <c r="H65" s="88"/>
    </row>
    <row r="66" spans="1:13" ht="31.15" customHeight="1">
      <c r="A66" s="74" t="s">
        <v>53</v>
      </c>
      <c r="B66" s="74"/>
      <c r="C66" s="74"/>
      <c r="D66" s="74"/>
      <c r="E66" s="74"/>
      <c r="F66" s="74"/>
      <c r="G66" s="74"/>
      <c r="H66" s="74"/>
      <c r="J66" s="44"/>
    </row>
    <row r="67" spans="1:13" ht="12" customHeight="1">
      <c r="A67" s="134"/>
      <c r="B67" s="134"/>
      <c r="C67" s="134"/>
      <c r="D67" s="134"/>
      <c r="E67" s="134"/>
      <c r="F67" s="134"/>
      <c r="G67" s="134"/>
      <c r="H67" s="134"/>
      <c r="K67" s="44">
        <f>H60*12</f>
        <v>3066834.06</v>
      </c>
    </row>
    <row r="68" spans="1:13" ht="30.75" customHeight="1" thickBot="1">
      <c r="A68" s="135" t="s">
        <v>54</v>
      </c>
      <c r="B68" s="135"/>
      <c r="C68" s="136" t="s">
        <v>55</v>
      </c>
      <c r="D68" s="136"/>
      <c r="E68" s="136"/>
      <c r="F68" s="136"/>
      <c r="G68" s="137" t="s">
        <v>56</v>
      </c>
      <c r="H68" s="137"/>
    </row>
    <row r="69" spans="1:13" ht="19.899999999999999" customHeight="1" thickBot="1">
      <c r="A69" s="138" t="s">
        <v>57</v>
      </c>
      <c r="B69" s="138"/>
      <c r="C69" s="136" t="s">
        <v>58</v>
      </c>
      <c r="D69" s="136"/>
      <c r="E69" s="136"/>
      <c r="F69" s="136"/>
      <c r="G69" s="139"/>
      <c r="H69" s="140"/>
      <c r="K69" s="64">
        <f>H64*3</f>
        <v>920701.87740000011</v>
      </c>
    </row>
    <row r="70" spans="1:13" ht="27.6" customHeight="1">
      <c r="A70" s="142" t="s">
        <v>59</v>
      </c>
      <c r="B70" s="143"/>
      <c r="C70" s="37" t="s">
        <v>60</v>
      </c>
      <c r="D70" s="148">
        <f>H64*0.6</f>
        <v>184140.37548000002</v>
      </c>
      <c r="E70" s="148"/>
      <c r="F70" s="148"/>
      <c r="G70" s="149"/>
      <c r="H70" s="150"/>
    </row>
    <row r="71" spans="1:13" ht="39" customHeight="1">
      <c r="A71" s="144"/>
      <c r="B71" s="145"/>
      <c r="C71" s="37" t="s">
        <v>98</v>
      </c>
      <c r="D71" s="141">
        <f>H64*0.3</f>
        <v>92070.187740000008</v>
      </c>
      <c r="E71" s="141"/>
      <c r="F71" s="141"/>
      <c r="G71" s="151"/>
      <c r="H71" s="152"/>
      <c r="J71" s="44">
        <f>H64-'[1]CTZ 8T (altura 270.7)'!H66</f>
        <v>68599.270412800077</v>
      </c>
    </row>
    <row r="72" spans="1:13" ht="39" customHeight="1">
      <c r="A72" s="144"/>
      <c r="B72" s="145"/>
      <c r="C72" s="37" t="s">
        <v>99</v>
      </c>
      <c r="D72" s="141">
        <f>H64*0.1</f>
        <v>30690.062580000005</v>
      </c>
      <c r="E72" s="141"/>
      <c r="F72" s="141"/>
      <c r="G72" s="151"/>
      <c r="H72" s="152"/>
      <c r="J72" s="44"/>
    </row>
    <row r="73" spans="1:13" ht="31.5" customHeight="1">
      <c r="A73" s="144"/>
      <c r="B73" s="145"/>
      <c r="C73" s="155" t="s">
        <v>61</v>
      </c>
      <c r="D73" s="157">
        <f>D70+D71+D72</f>
        <v>306900.62580000004</v>
      </c>
      <c r="E73" s="158"/>
      <c r="F73" s="159"/>
      <c r="G73" s="153"/>
      <c r="H73" s="154"/>
      <c r="J73" s="46"/>
      <c r="M73" s="46">
        <f>D70*8</f>
        <v>1473123.0038400001</v>
      </c>
    </row>
    <row r="74" spans="1:13" ht="5.45" hidden="1" customHeight="1">
      <c r="A74" s="146"/>
      <c r="B74" s="147"/>
      <c r="C74" s="156"/>
      <c r="D74" s="160"/>
      <c r="E74" s="161"/>
      <c r="F74" s="162"/>
      <c r="G74" s="163" t="s">
        <v>62</v>
      </c>
      <c r="H74" s="164"/>
    </row>
    <row r="75" spans="1:13" ht="24.95" customHeight="1">
      <c r="A75" s="172" t="s">
        <v>63</v>
      </c>
      <c r="B75" s="173"/>
      <c r="C75" s="38" t="s">
        <v>100</v>
      </c>
      <c r="D75" s="167"/>
      <c r="E75" s="168"/>
      <c r="F75" s="169"/>
      <c r="G75" s="165" t="s">
        <v>65</v>
      </c>
      <c r="H75" s="166"/>
      <c r="J75" s="38">
        <v>75</v>
      </c>
    </row>
    <row r="76" spans="1:13" ht="24.95" hidden="1" customHeight="1">
      <c r="A76" s="174"/>
      <c r="B76" s="175"/>
      <c r="C76" s="38" t="s">
        <v>66</v>
      </c>
      <c r="D76" s="167">
        <f>H64</f>
        <v>306900.62580000004</v>
      </c>
      <c r="E76" s="168"/>
      <c r="F76" s="169"/>
      <c r="G76" s="165" t="s">
        <v>65</v>
      </c>
      <c r="H76" s="166"/>
      <c r="J76" s="38">
        <v>120</v>
      </c>
      <c r="L76" s="46"/>
    </row>
    <row r="77" spans="1:13" ht="24.95" hidden="1" customHeight="1">
      <c r="A77" s="174"/>
      <c r="B77" s="175"/>
      <c r="C77" s="38" t="s">
        <v>64</v>
      </c>
      <c r="D77" s="167">
        <f>H64*3</f>
        <v>920701.87740000011</v>
      </c>
      <c r="E77" s="168"/>
      <c r="F77" s="169"/>
      <c r="G77" s="165" t="s">
        <v>67</v>
      </c>
      <c r="H77" s="166"/>
      <c r="J77" s="38">
        <f t="shared" ref="J77" si="13">J76+15</f>
        <v>135</v>
      </c>
      <c r="L77" s="46"/>
    </row>
    <row r="78" spans="1:13" ht="24.95" hidden="1" customHeight="1">
      <c r="A78" s="174"/>
      <c r="B78" s="175"/>
      <c r="C78" s="38" t="s">
        <v>68</v>
      </c>
      <c r="D78" s="167">
        <f>H64*3</f>
        <v>920701.87740000011</v>
      </c>
      <c r="E78" s="168"/>
      <c r="F78" s="169"/>
      <c r="G78" s="165" t="s">
        <v>69</v>
      </c>
      <c r="H78" s="166"/>
      <c r="J78" s="38">
        <f>J77+15</f>
        <v>150</v>
      </c>
    </row>
    <row r="79" spans="1:13" ht="24.95" hidden="1" customHeight="1">
      <c r="A79" s="174"/>
      <c r="B79" s="175"/>
      <c r="C79" s="38" t="s">
        <v>70</v>
      </c>
      <c r="D79" s="167">
        <f>H64*2</f>
        <v>613801.25160000008</v>
      </c>
      <c r="E79" s="168"/>
      <c r="F79" s="169"/>
      <c r="G79" s="165" t="s">
        <v>71</v>
      </c>
      <c r="H79" s="166"/>
      <c r="J79" s="47"/>
    </row>
    <row r="80" spans="1:13" ht="24.95" hidden="1" customHeight="1">
      <c r="A80" s="174"/>
      <c r="B80" s="175"/>
      <c r="C80" s="38" t="s">
        <v>72</v>
      </c>
      <c r="D80" s="167">
        <f>H64*2</f>
        <v>613801.25160000008</v>
      </c>
      <c r="E80" s="168"/>
      <c r="F80" s="169"/>
      <c r="G80" s="165" t="s">
        <v>71</v>
      </c>
      <c r="H80" s="166"/>
      <c r="J80" s="47"/>
    </row>
    <row r="81" spans="1:11" ht="24.95" hidden="1" customHeight="1">
      <c r="A81" s="176"/>
      <c r="B81" s="177"/>
      <c r="C81" s="38" t="s">
        <v>73</v>
      </c>
      <c r="D81" s="167">
        <f>H64*3</f>
        <v>920701.87740000011</v>
      </c>
      <c r="E81" s="168"/>
      <c r="F81" s="169"/>
      <c r="G81" s="165" t="s">
        <v>74</v>
      </c>
      <c r="H81" s="166"/>
      <c r="J81" s="47"/>
    </row>
    <row r="82" spans="1:11" ht="19.149999999999999" customHeight="1">
      <c r="A82" s="135" t="s">
        <v>75</v>
      </c>
      <c r="B82" s="135"/>
      <c r="C82" s="170" t="s">
        <v>76</v>
      </c>
      <c r="D82" s="170"/>
      <c r="E82" s="170"/>
      <c r="F82" s="170"/>
      <c r="G82" s="91"/>
      <c r="H82" s="171"/>
      <c r="J82" s="46">
        <f>SUM(D76:F78)</f>
        <v>2148304.3806000003</v>
      </c>
    </row>
    <row r="83" spans="1:11" ht="10.15" customHeight="1">
      <c r="A83" s="88"/>
      <c r="B83" s="88"/>
      <c r="C83" s="88"/>
      <c r="D83" s="88"/>
      <c r="E83" s="88"/>
      <c r="F83" s="88"/>
      <c r="G83" s="189"/>
      <c r="H83" s="189"/>
      <c r="J83" s="46"/>
      <c r="K83" s="46"/>
    </row>
    <row r="84" spans="1:11" ht="69.75" customHeight="1">
      <c r="A84" s="137" t="s">
        <v>77</v>
      </c>
      <c r="B84" s="137"/>
      <c r="C84" s="190" t="s">
        <v>166</v>
      </c>
      <c r="D84" s="190"/>
      <c r="E84" s="190"/>
      <c r="F84" s="190"/>
      <c r="G84" s="190"/>
      <c r="H84" s="39"/>
      <c r="J84" s="46"/>
    </row>
    <row r="85" spans="1:11" ht="27" customHeight="1">
      <c r="A85" s="137"/>
      <c r="B85" s="137"/>
      <c r="C85" s="190" t="s">
        <v>78</v>
      </c>
      <c r="D85" s="190"/>
      <c r="E85" s="190"/>
      <c r="F85" s="190"/>
      <c r="G85" s="190"/>
      <c r="H85" s="39"/>
    </row>
    <row r="86" spans="1:11" ht="67.150000000000006" customHeight="1">
      <c r="A86" s="137"/>
      <c r="B86" s="137"/>
      <c r="C86" s="190" t="s">
        <v>96</v>
      </c>
      <c r="D86" s="190"/>
      <c r="E86" s="190"/>
      <c r="F86" s="190"/>
      <c r="G86" s="190"/>
      <c r="H86" s="39"/>
    </row>
    <row r="87" spans="1:11" ht="54" customHeight="1">
      <c r="A87" s="137"/>
      <c r="B87" s="137"/>
      <c r="C87" s="190" t="s">
        <v>80</v>
      </c>
      <c r="D87" s="190"/>
      <c r="E87" s="190"/>
      <c r="F87" s="190"/>
      <c r="G87" s="190"/>
      <c r="H87" s="39"/>
    </row>
    <row r="88" spans="1:11" ht="150.75" hidden="1" customHeight="1">
      <c r="A88" s="137"/>
      <c r="B88" s="137"/>
      <c r="C88" s="181" t="s">
        <v>81</v>
      </c>
      <c r="D88" s="182"/>
      <c r="E88" s="182"/>
      <c r="F88" s="182"/>
      <c r="G88" s="183"/>
      <c r="H88" s="39"/>
    </row>
    <row r="89" spans="1:11" ht="30" customHeight="1">
      <c r="A89" s="137"/>
      <c r="B89" s="137"/>
      <c r="C89" s="190" t="s">
        <v>82</v>
      </c>
      <c r="D89" s="190"/>
      <c r="E89" s="190"/>
      <c r="F89" s="190"/>
      <c r="G89" s="190"/>
      <c r="H89" s="39"/>
    </row>
    <row r="90" spans="1:11" ht="51" customHeight="1">
      <c r="A90" s="137"/>
      <c r="B90" s="137"/>
      <c r="C90" s="190" t="s">
        <v>83</v>
      </c>
      <c r="D90" s="190"/>
      <c r="E90" s="190"/>
      <c r="F90" s="190"/>
      <c r="G90" s="190"/>
      <c r="H90" s="39"/>
    </row>
    <row r="91" spans="1:11" ht="64.5" hidden="1" customHeight="1">
      <c r="A91" s="137"/>
      <c r="B91" s="137"/>
      <c r="C91" s="181" t="s">
        <v>84</v>
      </c>
      <c r="D91" s="182"/>
      <c r="E91" s="182"/>
      <c r="F91" s="182"/>
      <c r="G91" s="183"/>
      <c r="H91" s="39"/>
    </row>
    <row r="92" spans="1:11" ht="103.5" customHeight="1">
      <c r="A92" s="137"/>
      <c r="B92" s="137"/>
      <c r="C92" s="184" t="s">
        <v>85</v>
      </c>
      <c r="D92" s="184"/>
      <c r="E92" s="184"/>
      <c r="F92" s="184"/>
      <c r="G92" s="184"/>
      <c r="H92" s="39"/>
    </row>
    <row r="93" spans="1:11" ht="24.95" customHeight="1">
      <c r="A93" s="137"/>
      <c r="B93" s="137"/>
      <c r="C93" s="184" t="s">
        <v>86</v>
      </c>
      <c r="D93" s="184"/>
      <c r="E93" s="184"/>
      <c r="F93" s="184"/>
      <c r="G93" s="184"/>
      <c r="H93" s="39"/>
    </row>
    <row r="94" spans="1:11" ht="7.9" customHeight="1">
      <c r="A94" s="185"/>
      <c r="B94" s="185"/>
      <c r="C94" s="185"/>
      <c r="D94" s="185"/>
      <c r="E94" s="185"/>
      <c r="F94" s="185"/>
      <c r="G94" s="185"/>
      <c r="H94" s="185"/>
    </row>
    <row r="95" spans="1:11" ht="30" customHeight="1">
      <c r="A95" s="185"/>
      <c r="B95" s="185"/>
      <c r="C95" s="185"/>
      <c r="D95" s="185"/>
      <c r="E95" s="185"/>
      <c r="F95" s="185"/>
      <c r="G95" s="185"/>
      <c r="H95" s="185"/>
    </row>
    <row r="96" spans="1:11" ht="30" customHeight="1">
      <c r="A96" s="185"/>
      <c r="B96" s="185"/>
      <c r="C96" s="185"/>
      <c r="D96" s="185"/>
      <c r="E96" s="185"/>
      <c r="F96" s="185"/>
      <c r="G96" s="185"/>
      <c r="H96" s="185"/>
    </row>
    <row r="97" spans="1:8" ht="24" customHeight="1">
      <c r="A97" s="185"/>
      <c r="B97" s="185"/>
      <c r="C97" s="185"/>
      <c r="D97" s="185"/>
      <c r="E97" s="185"/>
      <c r="F97" s="185"/>
      <c r="G97" s="185"/>
      <c r="H97" s="185"/>
    </row>
    <row r="98" spans="1:8" ht="43.9" customHeight="1">
      <c r="A98" s="185"/>
      <c r="B98" s="185"/>
      <c r="C98" s="185"/>
      <c r="D98" s="185"/>
      <c r="E98" s="185"/>
      <c r="F98" s="185"/>
      <c r="G98" s="185"/>
      <c r="H98" s="185"/>
    </row>
    <row r="99" spans="1:8" ht="18">
      <c r="A99" s="186" t="s">
        <v>87</v>
      </c>
      <c r="B99" s="187"/>
      <c r="C99" s="187"/>
      <c r="D99" s="187"/>
      <c r="E99" s="187"/>
      <c r="F99" s="187"/>
      <c r="G99" s="187"/>
      <c r="H99" s="188"/>
    </row>
    <row r="100" spans="1:8">
      <c r="A100" s="178" t="s">
        <v>88</v>
      </c>
      <c r="B100" s="179"/>
      <c r="C100" s="179"/>
      <c r="D100" s="179"/>
      <c r="E100" s="179"/>
      <c r="F100" s="179"/>
      <c r="G100" s="179"/>
      <c r="H100" s="180"/>
    </row>
  </sheetData>
  <mergeCells count="117">
    <mergeCell ref="A95:H98"/>
    <mergeCell ref="A99:H99"/>
    <mergeCell ref="A100:H100"/>
    <mergeCell ref="C89:G89"/>
    <mergeCell ref="C90:G90"/>
    <mergeCell ref="C91:G91"/>
    <mergeCell ref="C92:G92"/>
    <mergeCell ref="C93:G93"/>
    <mergeCell ref="A94:H94"/>
    <mergeCell ref="A82:B82"/>
    <mergeCell ref="C82:F82"/>
    <mergeCell ref="G82:H82"/>
    <mergeCell ref="A83:H83"/>
    <mergeCell ref="A84:B93"/>
    <mergeCell ref="C84:G84"/>
    <mergeCell ref="C85:G85"/>
    <mergeCell ref="C86:G86"/>
    <mergeCell ref="C87:G87"/>
    <mergeCell ref="C88:G88"/>
    <mergeCell ref="D79:F79"/>
    <mergeCell ref="G79:H79"/>
    <mergeCell ref="D80:F80"/>
    <mergeCell ref="G80:H80"/>
    <mergeCell ref="D81:F81"/>
    <mergeCell ref="G81:H81"/>
    <mergeCell ref="G74:H74"/>
    <mergeCell ref="A75:B81"/>
    <mergeCell ref="D75:F75"/>
    <mergeCell ref="G75:H75"/>
    <mergeCell ref="D76:F76"/>
    <mergeCell ref="G76:H76"/>
    <mergeCell ref="D77:F77"/>
    <mergeCell ref="G77:H77"/>
    <mergeCell ref="D78:F78"/>
    <mergeCell ref="G78:H78"/>
    <mergeCell ref="A69:B69"/>
    <mergeCell ref="C69:F69"/>
    <mergeCell ref="G69:H69"/>
    <mergeCell ref="A70:B74"/>
    <mergeCell ref="D70:F70"/>
    <mergeCell ref="G70:H73"/>
    <mergeCell ref="D71:F71"/>
    <mergeCell ref="D72:F72"/>
    <mergeCell ref="C73:C74"/>
    <mergeCell ref="D73:F74"/>
    <mergeCell ref="A65:H65"/>
    <mergeCell ref="A66:H66"/>
    <mergeCell ref="A67:H67"/>
    <mergeCell ref="A68:B68"/>
    <mergeCell ref="C68:F68"/>
    <mergeCell ref="G68:H68"/>
    <mergeCell ref="A54:H54"/>
    <mergeCell ref="A55:H55"/>
    <mergeCell ref="A56:H57"/>
    <mergeCell ref="A58:F60"/>
    <mergeCell ref="A61:B64"/>
    <mergeCell ref="C61:F64"/>
    <mergeCell ref="A48:H48"/>
    <mergeCell ref="C49:F49"/>
    <mergeCell ref="C50:F50"/>
    <mergeCell ref="C51:F51"/>
    <mergeCell ref="C52:F52"/>
    <mergeCell ref="C53:F53"/>
    <mergeCell ref="C42:F42"/>
    <mergeCell ref="C43:F43"/>
    <mergeCell ref="C44:F44"/>
    <mergeCell ref="A45:H45"/>
    <mergeCell ref="C46:F46"/>
    <mergeCell ref="A47:H47"/>
    <mergeCell ref="A36:H36"/>
    <mergeCell ref="C37:F37"/>
    <mergeCell ref="C38:F38"/>
    <mergeCell ref="C39:F39"/>
    <mergeCell ref="A40:H40"/>
    <mergeCell ref="A41:H41"/>
    <mergeCell ref="A30:H30"/>
    <mergeCell ref="A31:H31"/>
    <mergeCell ref="C32:F32"/>
    <mergeCell ref="C33:F33"/>
    <mergeCell ref="C34:F34"/>
    <mergeCell ref="A35:H35"/>
    <mergeCell ref="C24:F24"/>
    <mergeCell ref="A25:H25"/>
    <mergeCell ref="A26:H26"/>
    <mergeCell ref="C27:F27"/>
    <mergeCell ref="C28:F28"/>
    <mergeCell ref="C29:F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AC23AFBF-CFD5-4E85-A149-1590C3AE884B}"/>
  </hyperlinks>
  <printOptions horizontalCentered="1"/>
  <pageMargins left="3.937007874015748E-2" right="3.937007874015748E-2" top="0.35433070866141736" bottom="0.35433070866141736" header="0.31496062992125984" footer="0.31496062992125984"/>
  <pageSetup scale="60" fitToHeight="0" orientation="portrait" r:id="rId2"/>
  <rowBreaks count="4" manualBreakCount="4">
    <brk id="46" max="7" man="1"/>
    <brk id="57" max="7" man="1"/>
    <brk id="82" max="7" man="1"/>
    <brk id="100" max="16383"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7091-6EFE-4AB3-9510-B6DB39BF2097}">
  <dimension ref="A1:R100"/>
  <sheetViews>
    <sheetView view="pageBreakPreview" zoomScale="85" zoomScaleNormal="80" zoomScaleSheetLayoutView="85" workbookViewId="0">
      <selection activeCell="H2" sqref="H2"/>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1.8554687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174</v>
      </c>
    </row>
    <row r="3" spans="1:18" ht="25.15" customHeight="1">
      <c r="A3" s="93" t="s">
        <v>3</v>
      </c>
      <c r="B3" s="93"/>
      <c r="C3" s="94" t="s">
        <v>4</v>
      </c>
      <c r="D3" s="94"/>
      <c r="E3" s="94"/>
      <c r="F3" s="94"/>
      <c r="G3" s="94"/>
      <c r="H3" s="94"/>
    </row>
    <row r="4" spans="1:18" ht="48" customHeight="1">
      <c r="A4" s="93" t="s">
        <v>5</v>
      </c>
      <c r="B4" s="93"/>
      <c r="C4" s="97" t="s">
        <v>169</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105</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220</v>
      </c>
    </row>
    <row r="11" spans="1:18" s="2" customFormat="1" ht="21.95" customHeight="1">
      <c r="A11" s="14">
        <f>N11</f>
        <v>466.30500000000001</v>
      </c>
      <c r="B11" s="15" t="s">
        <v>18</v>
      </c>
      <c r="C11" s="76" t="s">
        <v>19</v>
      </c>
      <c r="D11" s="76"/>
      <c r="E11" s="76"/>
      <c r="F11" s="76"/>
      <c r="G11" s="16">
        <f>R10</f>
        <v>220</v>
      </c>
      <c r="H11" s="17">
        <f>G11*A11</f>
        <v>102587.1</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220</v>
      </c>
      <c r="H12" s="17">
        <f>A12*G12</f>
        <v>30321.059999999994</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220</v>
      </c>
      <c r="H13" s="17">
        <f>A13*G13</f>
        <v>14601.510000000002</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150029.67000000001</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106</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220</v>
      </c>
      <c r="H21" s="17">
        <f t="shared" ref="H21:H23" si="1">G21*A21</f>
        <v>0</v>
      </c>
      <c r="I21" s="48"/>
      <c r="J21" s="56">
        <v>12</v>
      </c>
      <c r="K21" s="57">
        <v>0.1</v>
      </c>
      <c r="L21" s="56">
        <f t="shared" ref="L21:L23" si="2">J21*K21</f>
        <v>1.2000000000000002</v>
      </c>
      <c r="N21" s="56">
        <f t="shared" ref="N21:N23" si="3">J21+L21</f>
        <v>13.2</v>
      </c>
    </row>
    <row r="22" spans="1:14" s="56" customFormat="1" ht="21.6" customHeight="1">
      <c r="A22" s="53">
        <f>N22</f>
        <v>34.271999999999998</v>
      </c>
      <c r="B22" s="54" t="s">
        <v>18</v>
      </c>
      <c r="C22" s="80" t="s">
        <v>29</v>
      </c>
      <c r="D22" s="80"/>
      <c r="E22" s="80"/>
      <c r="F22" s="80"/>
      <c r="G22" s="55">
        <f>R10</f>
        <v>220</v>
      </c>
      <c r="H22" s="17">
        <f t="shared" si="1"/>
        <v>7539.8399999999992</v>
      </c>
      <c r="I22" s="48"/>
      <c r="J22" s="2">
        <v>32.64</v>
      </c>
      <c r="K22" s="57">
        <v>0.05</v>
      </c>
      <c r="L22" s="56">
        <f t="shared" si="2"/>
        <v>1.6320000000000001</v>
      </c>
      <c r="N22" s="56">
        <f t="shared" si="3"/>
        <v>34.271999999999998</v>
      </c>
    </row>
    <row r="23" spans="1:14" s="56" customFormat="1" ht="21.6" customHeight="1">
      <c r="A23" s="65">
        <f t="shared" ref="A23" si="4">N23</f>
        <v>11.55</v>
      </c>
      <c r="B23" s="54" t="s">
        <v>18</v>
      </c>
      <c r="C23" s="106" t="s">
        <v>30</v>
      </c>
      <c r="D23" s="106"/>
      <c r="E23" s="106"/>
      <c r="F23" s="106"/>
      <c r="G23" s="66">
        <f>R10</f>
        <v>220</v>
      </c>
      <c r="H23" s="17">
        <f t="shared" si="1"/>
        <v>2541</v>
      </c>
      <c r="I23" s="48"/>
      <c r="J23" s="2">
        <v>10.5</v>
      </c>
      <c r="K23" s="57">
        <v>0.1</v>
      </c>
      <c r="L23" s="56">
        <f t="shared" si="2"/>
        <v>1.05</v>
      </c>
      <c r="N23" s="56">
        <f t="shared" si="3"/>
        <v>11.55</v>
      </c>
    </row>
    <row r="24" spans="1:14" s="58" customFormat="1" ht="15.75">
      <c r="A24" s="19">
        <f>A22+A23</f>
        <v>45.822000000000003</v>
      </c>
      <c r="B24" s="20" t="s">
        <v>25</v>
      </c>
      <c r="C24" s="83"/>
      <c r="D24" s="83"/>
      <c r="E24" s="83"/>
      <c r="F24" s="83"/>
      <c r="G24" s="20" t="s">
        <v>26</v>
      </c>
      <c r="H24" s="22">
        <f>H22+H23</f>
        <v>10080.84</v>
      </c>
      <c r="I24" s="48"/>
      <c r="J24" s="56">
        <f>SUM(J21:J23)</f>
        <v>55.14</v>
      </c>
      <c r="K24" s="57"/>
      <c r="L24" s="56"/>
      <c r="M24" s="56"/>
      <c r="N24" s="56"/>
    </row>
    <row r="25" spans="1:14" s="48" customFormat="1">
      <c r="A25" s="100"/>
      <c r="B25" s="101"/>
      <c r="C25" s="101"/>
      <c r="D25" s="101"/>
      <c r="E25" s="101"/>
      <c r="F25" s="101"/>
      <c r="G25" s="101"/>
      <c r="H25" s="102"/>
    </row>
    <row r="26" spans="1:14" s="48" customFormat="1" ht="18">
      <c r="A26" s="74" t="s">
        <v>107</v>
      </c>
      <c r="B26" s="74"/>
      <c r="C26" s="74"/>
      <c r="D26" s="74"/>
      <c r="E26" s="74"/>
      <c r="F26" s="74"/>
      <c r="G26" s="74"/>
      <c r="H26" s="74"/>
      <c r="J26" s="56" t="e">
        <f>#REF!+J23</f>
        <v>#REF!</v>
      </c>
      <c r="K26" s="57"/>
      <c r="L26" s="56"/>
      <c r="N26" s="56"/>
    </row>
    <row r="27" spans="1:14" s="52" customFormat="1" ht="15">
      <c r="A27" s="73" t="s">
        <v>10</v>
      </c>
      <c r="B27" s="50" t="s">
        <v>11</v>
      </c>
      <c r="C27" s="75" t="s">
        <v>12</v>
      </c>
      <c r="D27" s="75"/>
      <c r="E27" s="75"/>
      <c r="F27" s="75"/>
      <c r="G27" s="51" t="s">
        <v>13</v>
      </c>
      <c r="H27" s="51" t="s">
        <v>9</v>
      </c>
      <c r="I27" s="48"/>
      <c r="J27" s="56"/>
      <c r="K27" s="57"/>
      <c r="L27" s="56"/>
      <c r="N27" s="56"/>
    </row>
    <row r="28" spans="1:14" s="56" customFormat="1" ht="36.6" customHeight="1">
      <c r="A28" s="67">
        <f>N28</f>
        <v>28.561</v>
      </c>
      <c r="B28" s="59" t="s">
        <v>18</v>
      </c>
      <c r="C28" s="103" t="s">
        <v>31</v>
      </c>
      <c r="D28" s="104"/>
      <c r="E28" s="104"/>
      <c r="F28" s="105"/>
      <c r="G28" s="55">
        <f>R10</f>
        <v>220</v>
      </c>
      <c r="H28" s="17">
        <f>G28*A28</f>
        <v>6283.42</v>
      </c>
      <c r="I28" s="48"/>
      <c r="J28" s="56">
        <v>21.97</v>
      </c>
      <c r="K28" s="57">
        <v>0.3</v>
      </c>
      <c r="L28" s="56">
        <f t="shared" ref="L28" si="5">J28*K28</f>
        <v>6.5909999999999993</v>
      </c>
      <c r="N28" s="56">
        <f t="shared" ref="N28" si="6">J28+L28</f>
        <v>28.561</v>
      </c>
    </row>
    <row r="29" spans="1:14" s="58" customFormat="1" ht="15.75">
      <c r="A29" s="19">
        <f>A28</f>
        <v>28.561</v>
      </c>
      <c r="B29" s="20" t="s">
        <v>25</v>
      </c>
      <c r="C29" s="83"/>
      <c r="D29" s="83"/>
      <c r="E29" s="83"/>
      <c r="F29" s="83"/>
      <c r="G29" s="20" t="s">
        <v>26</v>
      </c>
      <c r="H29" s="21">
        <f>H28</f>
        <v>6283.42</v>
      </c>
      <c r="I29" s="48"/>
      <c r="J29" s="56">
        <f>SUM(J28:J28)</f>
        <v>21.97</v>
      </c>
      <c r="K29" s="57"/>
      <c r="L29" s="56"/>
      <c r="M29" s="56"/>
      <c r="N29" s="56"/>
    </row>
    <row r="30" spans="1:14" s="48" customFormat="1">
      <c r="A30" s="100"/>
      <c r="B30" s="101"/>
      <c r="C30" s="101"/>
      <c r="D30" s="101"/>
      <c r="E30" s="101"/>
      <c r="F30" s="101"/>
      <c r="G30" s="101"/>
      <c r="H30" s="102"/>
    </row>
    <row r="31" spans="1:14" s="48" customFormat="1" ht="18">
      <c r="A31" s="74" t="s">
        <v>108</v>
      </c>
      <c r="B31" s="74"/>
      <c r="C31" s="74"/>
      <c r="D31" s="74"/>
      <c r="E31" s="74"/>
      <c r="F31" s="74"/>
      <c r="G31" s="74"/>
      <c r="H31" s="74"/>
      <c r="J31" s="56"/>
      <c r="K31" s="57"/>
      <c r="L31" s="56"/>
      <c r="N31" s="56"/>
    </row>
    <row r="32" spans="1:14" s="52" customFormat="1" ht="15">
      <c r="A32" s="73" t="s">
        <v>10</v>
      </c>
      <c r="B32" s="50" t="s">
        <v>11</v>
      </c>
      <c r="C32" s="75" t="s">
        <v>12</v>
      </c>
      <c r="D32" s="75"/>
      <c r="E32" s="75"/>
      <c r="F32" s="75"/>
      <c r="G32" s="51" t="s">
        <v>13</v>
      </c>
      <c r="H32" s="51" t="s">
        <v>9</v>
      </c>
      <c r="I32" s="48"/>
      <c r="J32" s="56"/>
      <c r="K32" s="57"/>
      <c r="L32" s="56"/>
      <c r="N32" s="56"/>
    </row>
    <row r="33" spans="1:15" s="56" customFormat="1" ht="22.5" customHeight="1">
      <c r="A33" s="53">
        <f>N33</f>
        <v>50.4</v>
      </c>
      <c r="B33" s="54" t="s">
        <v>18</v>
      </c>
      <c r="C33" s="76" t="s">
        <v>32</v>
      </c>
      <c r="D33" s="76"/>
      <c r="E33" s="76"/>
      <c r="F33" s="76"/>
      <c r="G33" s="55">
        <f>R10</f>
        <v>220</v>
      </c>
      <c r="H33" s="17">
        <f>G33*A33</f>
        <v>11088</v>
      </c>
      <c r="I33" s="48"/>
      <c r="J33" s="56">
        <v>48</v>
      </c>
      <c r="K33" s="57">
        <v>0.05</v>
      </c>
      <c r="L33" s="56">
        <f t="shared" ref="L33" si="7">J33*K33</f>
        <v>2.4000000000000004</v>
      </c>
      <c r="N33" s="56">
        <f t="shared" ref="N33" si="8">J33+L33</f>
        <v>50.4</v>
      </c>
    </row>
    <row r="34" spans="1:15" s="58" customFormat="1" ht="15.75">
      <c r="A34" s="19">
        <f>SUM(A33:A33)</f>
        <v>50.4</v>
      </c>
      <c r="B34" s="20" t="s">
        <v>25</v>
      </c>
      <c r="C34" s="83"/>
      <c r="D34" s="83"/>
      <c r="E34" s="83"/>
      <c r="F34" s="83"/>
      <c r="G34" s="20"/>
      <c r="H34" s="22">
        <f>H33</f>
        <v>11088</v>
      </c>
      <c r="I34" s="48"/>
      <c r="J34" s="56"/>
      <c r="K34" s="57"/>
      <c r="L34" s="56"/>
      <c r="M34" s="56"/>
      <c r="N34" s="56"/>
    </row>
    <row r="35" spans="1:15" s="48" customFormat="1">
      <c r="A35" s="100"/>
      <c r="B35" s="101"/>
      <c r="C35" s="101"/>
      <c r="D35" s="101"/>
      <c r="E35" s="101"/>
      <c r="F35" s="101"/>
      <c r="G35" s="101"/>
      <c r="H35" s="102"/>
    </row>
    <row r="36" spans="1:15" s="48" customFormat="1" ht="18">
      <c r="A36" s="74" t="s">
        <v>109</v>
      </c>
      <c r="B36" s="74"/>
      <c r="C36" s="74"/>
      <c r="D36" s="74"/>
      <c r="E36" s="74"/>
      <c r="F36" s="74"/>
      <c r="G36" s="74"/>
      <c r="H36" s="74"/>
      <c r="J36" s="56"/>
      <c r="K36" s="57"/>
      <c r="L36" s="56"/>
      <c r="N36" s="56"/>
    </row>
    <row r="37" spans="1:15" s="52" customFormat="1" ht="15">
      <c r="A37" s="73" t="s">
        <v>10</v>
      </c>
      <c r="B37" s="50" t="s">
        <v>11</v>
      </c>
      <c r="C37" s="75" t="s">
        <v>12</v>
      </c>
      <c r="D37" s="75"/>
      <c r="E37" s="75"/>
      <c r="F37" s="75"/>
      <c r="G37" s="51" t="s">
        <v>13</v>
      </c>
      <c r="H37" s="51" t="s">
        <v>9</v>
      </c>
      <c r="I37" s="48"/>
      <c r="J37" s="56"/>
      <c r="K37" s="57"/>
      <c r="L37" s="56"/>
      <c r="N37" s="56"/>
    </row>
    <row r="38" spans="1:15" s="2" customFormat="1" ht="30.75" customHeight="1">
      <c r="A38" s="68">
        <f>N38</f>
        <v>43.05</v>
      </c>
      <c r="B38" s="15" t="s">
        <v>18</v>
      </c>
      <c r="C38" s="76" t="s">
        <v>135</v>
      </c>
      <c r="D38" s="76"/>
      <c r="E38" s="76"/>
      <c r="F38" s="76"/>
      <c r="G38" s="16">
        <f>R10</f>
        <v>220</v>
      </c>
      <c r="H38" s="17">
        <f>G38*A38</f>
        <v>9471</v>
      </c>
      <c r="I38" s="1"/>
      <c r="J38" s="2">
        <v>41</v>
      </c>
      <c r="K38" s="40">
        <v>0.05</v>
      </c>
      <c r="L38" s="2">
        <f t="shared" ref="L38" si="9">J38*K38</f>
        <v>2.0500000000000003</v>
      </c>
      <c r="N38" s="2">
        <f t="shared" ref="N38" si="10">J38+L38</f>
        <v>43.05</v>
      </c>
    </row>
    <row r="39" spans="1:15" s="58" customFormat="1" ht="15.75">
      <c r="A39" s="19">
        <f>SUM(A38:A38)</f>
        <v>43.05</v>
      </c>
      <c r="B39" s="20" t="s">
        <v>25</v>
      </c>
      <c r="C39" s="83"/>
      <c r="D39" s="83"/>
      <c r="E39" s="83"/>
      <c r="F39" s="83"/>
      <c r="G39" s="20" t="s">
        <v>26</v>
      </c>
      <c r="H39" s="22">
        <f>H38</f>
        <v>9471</v>
      </c>
      <c r="I39" s="48"/>
      <c r="J39" s="56" t="e">
        <f>J38+#REF!+#REF!+#REF!+J28+J23+#REF!+J22+J21+J13+J12+J11</f>
        <v>#REF!</v>
      </c>
      <c r="K39" s="57"/>
      <c r="L39" s="56"/>
      <c r="M39" s="56"/>
      <c r="N39" s="56"/>
    </row>
    <row r="40" spans="1:15" s="48" customFormat="1" ht="15.75" customHeight="1">
      <c r="A40" s="100"/>
      <c r="B40" s="101"/>
      <c r="C40" s="101"/>
      <c r="D40" s="101"/>
      <c r="E40" s="101"/>
      <c r="F40" s="101"/>
      <c r="G40" s="101"/>
      <c r="H40" s="102"/>
    </row>
    <row r="41" spans="1:15" s="48" customFormat="1" ht="18" hidden="1">
      <c r="A41" s="74" t="s">
        <v>33</v>
      </c>
      <c r="B41" s="74"/>
      <c r="C41" s="74"/>
      <c r="D41" s="74"/>
      <c r="E41" s="74"/>
      <c r="F41" s="74"/>
      <c r="G41" s="74"/>
      <c r="H41" s="74"/>
      <c r="J41" s="56"/>
      <c r="K41" s="57"/>
      <c r="L41" s="56">
        <v>90</v>
      </c>
      <c r="M41" s="48">
        <f>A38/L41</f>
        <v>0.47833333333333328</v>
      </c>
      <c r="N41" s="56">
        <v>30</v>
      </c>
      <c r="O41" s="48">
        <f>N41*M41</f>
        <v>14.349999999999998</v>
      </c>
    </row>
    <row r="42" spans="1:15" s="52" customFormat="1" ht="15" hidden="1">
      <c r="A42" s="73" t="s">
        <v>10</v>
      </c>
      <c r="B42" s="50" t="s">
        <v>11</v>
      </c>
      <c r="C42" s="75" t="s">
        <v>12</v>
      </c>
      <c r="D42" s="75"/>
      <c r="E42" s="75"/>
      <c r="F42" s="75"/>
      <c r="G42" s="51" t="s">
        <v>13</v>
      </c>
      <c r="H42" s="51" t="s">
        <v>9</v>
      </c>
      <c r="I42" s="48"/>
      <c r="J42" s="56"/>
      <c r="K42" s="57"/>
      <c r="L42" s="56"/>
      <c r="N42" s="56"/>
    </row>
    <row r="43" spans="1:15" s="2" customFormat="1" ht="22.5" hidden="1" customHeight="1">
      <c r="A43" s="68">
        <v>0</v>
      </c>
      <c r="B43" s="15" t="s">
        <v>18</v>
      </c>
      <c r="C43" s="76" t="s">
        <v>34</v>
      </c>
      <c r="D43" s="76"/>
      <c r="E43" s="76"/>
      <c r="F43" s="76"/>
      <c r="G43" s="16">
        <f>G38</f>
        <v>220</v>
      </c>
      <c r="H43" s="17">
        <f>G43*A43</f>
        <v>0</v>
      </c>
      <c r="I43" s="1"/>
      <c r="J43" s="2">
        <v>25.55</v>
      </c>
      <c r="K43" s="40">
        <v>0.05</v>
      </c>
      <c r="L43" s="2">
        <f t="shared" ref="L43" si="11">J43*K43</f>
        <v>1.2775000000000001</v>
      </c>
      <c r="N43" s="2">
        <f t="shared" ref="N43" si="12">J43+L43</f>
        <v>26.827500000000001</v>
      </c>
    </row>
    <row r="44" spans="1:15" s="58" customFormat="1" ht="15.75" hidden="1">
      <c r="A44" s="19">
        <f>SUM(A43:A43)</f>
        <v>0</v>
      </c>
      <c r="B44" s="20" t="s">
        <v>25</v>
      </c>
      <c r="C44" s="83"/>
      <c r="D44" s="83"/>
      <c r="E44" s="83"/>
      <c r="F44" s="83"/>
      <c r="G44" s="20" t="s">
        <v>26</v>
      </c>
      <c r="H44" s="22">
        <f>H43</f>
        <v>0</v>
      </c>
      <c r="I44" s="48"/>
      <c r="J44" s="56" t="e">
        <f>J43+#REF!+J38+#REF!+#REF!+J27+#REF!+J25+J24+J17+J16+J15</f>
        <v>#REF!</v>
      </c>
      <c r="K44" s="57"/>
      <c r="L44" s="56"/>
      <c r="M44" s="56"/>
      <c r="N44" s="56"/>
    </row>
    <row r="45" spans="1:15" s="48" customFormat="1" ht="15.75" hidden="1" customHeight="1">
      <c r="A45" s="100"/>
      <c r="B45" s="101"/>
      <c r="C45" s="101"/>
      <c r="D45" s="101"/>
      <c r="E45" s="101"/>
      <c r="F45" s="101"/>
      <c r="G45" s="101"/>
      <c r="H45" s="102"/>
    </row>
    <row r="46" spans="1:15" s="48" customFormat="1" ht="21.75" customHeight="1">
      <c r="A46" s="60">
        <f>A39+A34+A29+A24+A16</f>
        <v>838.33149999999989</v>
      </c>
      <c r="B46" s="71" t="s">
        <v>25</v>
      </c>
      <c r="C46" s="107" t="s">
        <v>35</v>
      </c>
      <c r="D46" s="107"/>
      <c r="E46" s="107"/>
      <c r="F46" s="107"/>
      <c r="G46" s="71" t="s">
        <v>26</v>
      </c>
      <c r="H46" s="61">
        <f>H39+H34+H29+H24+H16</f>
        <v>186952.93</v>
      </c>
      <c r="K46" s="62"/>
    </row>
    <row r="47" spans="1:15" s="48" customFormat="1" ht="21.75" customHeight="1">
      <c r="A47" s="108"/>
      <c r="B47" s="108"/>
      <c r="C47" s="108"/>
      <c r="D47" s="108"/>
      <c r="E47" s="108"/>
      <c r="F47" s="108"/>
      <c r="G47" s="108"/>
      <c r="H47" s="108"/>
    </row>
    <row r="48" spans="1:15" s="1" customFormat="1" ht="18">
      <c r="A48" s="109" t="s">
        <v>36</v>
      </c>
      <c r="B48" s="109"/>
      <c r="C48" s="109"/>
      <c r="D48" s="109"/>
      <c r="E48" s="109"/>
      <c r="F48" s="109"/>
      <c r="G48" s="109"/>
      <c r="H48" s="109"/>
    </row>
    <row r="49" spans="1:15" s="1" customFormat="1" ht="15">
      <c r="A49" s="72" t="s">
        <v>10</v>
      </c>
      <c r="B49" s="12" t="s">
        <v>11</v>
      </c>
      <c r="C49" s="110" t="s">
        <v>37</v>
      </c>
      <c r="D49" s="110"/>
      <c r="E49" s="110"/>
      <c r="F49" s="110"/>
      <c r="G49" s="13" t="s">
        <v>13</v>
      </c>
      <c r="H49" s="13" t="s">
        <v>9</v>
      </c>
      <c r="J49" s="1">
        <v>1700</v>
      </c>
      <c r="K49" s="1">
        <f>J49/A51</f>
        <v>22.666666666666668</v>
      </c>
    </row>
    <row r="50" spans="1:15" s="1" customFormat="1" ht="53.1" customHeight="1">
      <c r="A50" s="23">
        <v>110</v>
      </c>
      <c r="B50" s="23" t="s">
        <v>22</v>
      </c>
      <c r="C50" s="128" t="s">
        <v>89</v>
      </c>
      <c r="D50" s="129"/>
      <c r="E50" s="129"/>
      <c r="F50" s="130"/>
      <c r="G50" s="24">
        <v>120</v>
      </c>
      <c r="H50" s="25">
        <f>A50*G50</f>
        <v>13200</v>
      </c>
    </row>
    <row r="51" spans="1:15" s="1" customFormat="1" ht="38.450000000000003" customHeight="1">
      <c r="A51" s="23">
        <v>75</v>
      </c>
      <c r="B51" s="23" t="s">
        <v>22</v>
      </c>
      <c r="C51" s="131" t="s">
        <v>90</v>
      </c>
      <c r="D51" s="131"/>
      <c r="E51" s="131"/>
      <c r="F51" s="131"/>
      <c r="G51" s="24">
        <v>60</v>
      </c>
      <c r="H51" s="25">
        <f>A51*G51</f>
        <v>4500</v>
      </c>
      <c r="J51"/>
      <c r="L51"/>
    </row>
    <row r="52" spans="1:15" s="1" customFormat="1" ht="42.95" customHeight="1">
      <c r="A52" s="15">
        <v>1</v>
      </c>
      <c r="B52" s="15" t="s">
        <v>40</v>
      </c>
      <c r="C52" s="132" t="s">
        <v>41</v>
      </c>
      <c r="D52" s="133"/>
      <c r="E52" s="133"/>
      <c r="F52" s="133"/>
      <c r="G52" s="24">
        <v>9000</v>
      </c>
      <c r="H52" s="25">
        <f>A52*G52</f>
        <v>9000</v>
      </c>
      <c r="J52"/>
      <c r="L52"/>
    </row>
    <row r="53" spans="1:15" s="48" customFormat="1" ht="15.75">
      <c r="A53" s="71"/>
      <c r="B53" s="71" t="s">
        <v>17</v>
      </c>
      <c r="C53" s="107" t="s">
        <v>42</v>
      </c>
      <c r="D53" s="107"/>
      <c r="E53" s="107"/>
      <c r="F53" s="107"/>
      <c r="G53" s="27" t="s">
        <v>43</v>
      </c>
      <c r="H53" s="28">
        <f>H50+H51+H52</f>
        <v>26700</v>
      </c>
    </row>
    <row r="54" spans="1:15" s="48" customFormat="1">
      <c r="A54" s="108"/>
      <c r="B54" s="108"/>
      <c r="C54" s="108"/>
      <c r="D54" s="108"/>
      <c r="E54" s="108"/>
      <c r="F54" s="108"/>
      <c r="G54" s="108"/>
      <c r="H54" s="108"/>
      <c r="J54" s="48" t="e">
        <f>J39-J38-#REF!</f>
        <v>#REF!</v>
      </c>
    </row>
    <row r="55" spans="1:15" s="48" customFormat="1" ht="15" customHeight="1">
      <c r="A55" s="111" t="s">
        <v>44</v>
      </c>
      <c r="B55" s="111"/>
      <c r="C55" s="111"/>
      <c r="D55" s="111"/>
      <c r="E55" s="111"/>
      <c r="F55" s="111"/>
      <c r="G55" s="111"/>
      <c r="H55" s="111"/>
    </row>
    <row r="56" spans="1:15" s="48" customFormat="1" ht="388.5" customHeight="1">
      <c r="A56" s="112"/>
      <c r="B56" s="113"/>
      <c r="C56" s="113"/>
      <c r="D56" s="113"/>
      <c r="E56" s="113"/>
      <c r="F56" s="113"/>
      <c r="G56" s="113"/>
      <c r="H56" s="114"/>
      <c r="J56" s="63"/>
    </row>
    <row r="57" spans="1:15" s="48" customFormat="1" ht="41.25" customHeight="1">
      <c r="A57" s="115"/>
      <c r="B57" s="116"/>
      <c r="C57" s="116"/>
      <c r="D57" s="116"/>
      <c r="E57" s="116"/>
      <c r="F57" s="116"/>
      <c r="G57" s="116"/>
      <c r="H57" s="117"/>
    </row>
    <row r="58" spans="1:15" ht="28.15" customHeight="1">
      <c r="A58" s="118" t="s">
        <v>45</v>
      </c>
      <c r="B58" s="119"/>
      <c r="C58" s="119"/>
      <c r="D58" s="119"/>
      <c r="E58" s="119"/>
      <c r="F58" s="120"/>
      <c r="G58" s="29" t="s">
        <v>43</v>
      </c>
      <c r="H58" s="30">
        <f>H46+H53</f>
        <v>213652.93</v>
      </c>
      <c r="J58" s="41"/>
    </row>
    <row r="59" spans="1:15" ht="28.15" hidden="1" customHeight="1">
      <c r="A59" s="121"/>
      <c r="B59" s="122"/>
      <c r="C59" s="122"/>
      <c r="D59" s="122"/>
      <c r="E59" s="122"/>
      <c r="F59" s="123"/>
      <c r="G59" s="29" t="s">
        <v>46</v>
      </c>
      <c r="H59" s="30">
        <v>0</v>
      </c>
      <c r="J59" s="42"/>
    </row>
    <row r="60" spans="1:15" ht="23.25" customHeight="1">
      <c r="A60" s="124"/>
      <c r="B60" s="125"/>
      <c r="C60" s="125"/>
      <c r="D60" s="125"/>
      <c r="E60" s="125"/>
      <c r="F60" s="126"/>
      <c r="G60" s="31" t="s">
        <v>47</v>
      </c>
      <c r="H60" s="32">
        <f>H58-H59</f>
        <v>213652.93</v>
      </c>
      <c r="J60" s="42"/>
    </row>
    <row r="61" spans="1:15" ht="21.95" customHeight="1">
      <c r="A61" s="74" t="s">
        <v>48</v>
      </c>
      <c r="B61" s="74"/>
      <c r="C61" s="127" t="s">
        <v>170</v>
      </c>
      <c r="D61" s="127"/>
      <c r="E61" s="127"/>
      <c r="F61" s="127"/>
      <c r="G61" s="33" t="s">
        <v>49</v>
      </c>
      <c r="H61" s="34">
        <v>9000</v>
      </c>
      <c r="I61" s="4">
        <v>9</v>
      </c>
      <c r="J61" s="43"/>
    </row>
    <row r="62" spans="1:15" ht="21.95" customHeight="1">
      <c r="A62" s="74"/>
      <c r="B62" s="74"/>
      <c r="C62" s="127"/>
      <c r="D62" s="127"/>
      <c r="E62" s="127"/>
      <c r="F62" s="127"/>
      <c r="G62" s="31" t="s">
        <v>50</v>
      </c>
      <c r="H62" s="30">
        <f>H60+H61</f>
        <v>222652.93</v>
      </c>
      <c r="J62" s="42"/>
    </row>
    <row r="63" spans="1:15" ht="21.95" customHeight="1">
      <c r="A63" s="74"/>
      <c r="B63" s="74"/>
      <c r="C63" s="127"/>
      <c r="D63" s="127"/>
      <c r="E63" s="127"/>
      <c r="F63" s="127"/>
      <c r="G63" s="33" t="s">
        <v>51</v>
      </c>
      <c r="H63" s="34">
        <f>H62*0.16</f>
        <v>35624.468800000002</v>
      </c>
      <c r="J63" s="43">
        <v>19</v>
      </c>
      <c r="K63" s="4">
        <f>H58*J63</f>
        <v>4059405.67</v>
      </c>
      <c r="O63" s="44">
        <f>H64*4</f>
        <v>1033109.5952</v>
      </c>
    </row>
    <row r="64" spans="1:15" ht="21.95" customHeight="1">
      <c r="A64" s="74"/>
      <c r="B64" s="74"/>
      <c r="C64" s="127"/>
      <c r="D64" s="127"/>
      <c r="E64" s="127"/>
      <c r="F64" s="127"/>
      <c r="G64" s="35" t="s">
        <v>52</v>
      </c>
      <c r="H64" s="36">
        <f>H62+H63</f>
        <v>258277.3988</v>
      </c>
      <c r="I64" s="44">
        <f>H64/A46</f>
        <v>308.08504607067732</v>
      </c>
      <c r="J64" s="45"/>
    </row>
    <row r="65" spans="1:13">
      <c r="A65" s="88"/>
      <c r="B65" s="88"/>
      <c r="C65" s="88"/>
      <c r="D65" s="88"/>
      <c r="E65" s="88"/>
      <c r="F65" s="88"/>
      <c r="G65" s="88"/>
      <c r="H65" s="88"/>
    </row>
    <row r="66" spans="1:13" ht="31.15" customHeight="1">
      <c r="A66" s="74" t="s">
        <v>53</v>
      </c>
      <c r="B66" s="74"/>
      <c r="C66" s="74"/>
      <c r="D66" s="74"/>
      <c r="E66" s="74"/>
      <c r="F66" s="74"/>
      <c r="G66" s="74"/>
      <c r="H66" s="74"/>
      <c r="J66" s="44"/>
    </row>
    <row r="67" spans="1:13" ht="12" customHeight="1">
      <c r="A67" s="134"/>
      <c r="B67" s="134"/>
      <c r="C67" s="134"/>
      <c r="D67" s="134"/>
      <c r="E67" s="134"/>
      <c r="F67" s="134"/>
      <c r="G67" s="134"/>
      <c r="H67" s="134"/>
      <c r="K67" s="44">
        <f>H60*12</f>
        <v>2563835.16</v>
      </c>
    </row>
    <row r="68" spans="1:13" ht="30.75" customHeight="1" thickBot="1">
      <c r="A68" s="135" t="s">
        <v>54</v>
      </c>
      <c r="B68" s="135"/>
      <c r="C68" s="136" t="s">
        <v>55</v>
      </c>
      <c r="D68" s="136"/>
      <c r="E68" s="136"/>
      <c r="F68" s="136"/>
      <c r="G68" s="137" t="s">
        <v>56</v>
      </c>
      <c r="H68" s="137"/>
    </row>
    <row r="69" spans="1:13" ht="19.899999999999999" customHeight="1" thickBot="1">
      <c r="A69" s="138" t="s">
        <v>57</v>
      </c>
      <c r="B69" s="138"/>
      <c r="C69" s="136" t="s">
        <v>58</v>
      </c>
      <c r="D69" s="136"/>
      <c r="E69" s="136"/>
      <c r="F69" s="136"/>
      <c r="G69" s="139"/>
      <c r="H69" s="140"/>
      <c r="K69" s="64">
        <f>H64*3</f>
        <v>774832.19640000002</v>
      </c>
    </row>
    <row r="70" spans="1:13" ht="27.6" customHeight="1">
      <c r="A70" s="142" t="s">
        <v>59</v>
      </c>
      <c r="B70" s="143"/>
      <c r="C70" s="37" t="s">
        <v>60</v>
      </c>
      <c r="D70" s="148">
        <f>H64*0.6</f>
        <v>154966.43927999999</v>
      </c>
      <c r="E70" s="148"/>
      <c r="F70" s="148"/>
      <c r="G70" s="149"/>
      <c r="H70" s="150"/>
    </row>
    <row r="71" spans="1:13" ht="39" customHeight="1">
      <c r="A71" s="144"/>
      <c r="B71" s="145"/>
      <c r="C71" s="37" t="s">
        <v>98</v>
      </c>
      <c r="D71" s="141">
        <f>H64*0.3</f>
        <v>77483.219639999996</v>
      </c>
      <c r="E71" s="141"/>
      <c r="F71" s="141"/>
      <c r="G71" s="151"/>
      <c r="H71" s="152"/>
      <c r="J71" s="44">
        <f>H64-'[1]CTZ 8T (altura 270.7)'!H66</f>
        <v>19976.043412800034</v>
      </c>
    </row>
    <row r="72" spans="1:13" ht="39" customHeight="1">
      <c r="A72" s="144"/>
      <c r="B72" s="145"/>
      <c r="C72" s="37" t="s">
        <v>99</v>
      </c>
      <c r="D72" s="141">
        <f>H64*0.1</f>
        <v>25827.739880000001</v>
      </c>
      <c r="E72" s="141"/>
      <c r="F72" s="141"/>
      <c r="G72" s="151"/>
      <c r="H72" s="152"/>
      <c r="J72" s="44"/>
    </row>
    <row r="73" spans="1:13" ht="31.5" customHeight="1">
      <c r="A73" s="144"/>
      <c r="B73" s="145"/>
      <c r="C73" s="155" t="s">
        <v>61</v>
      </c>
      <c r="D73" s="157">
        <f>D70+D71+D72</f>
        <v>258277.3988</v>
      </c>
      <c r="E73" s="158"/>
      <c r="F73" s="159"/>
      <c r="G73" s="153"/>
      <c r="H73" s="154"/>
      <c r="J73" s="46"/>
      <c r="M73" s="46">
        <f>D70*8</f>
        <v>1239731.5142399999</v>
      </c>
    </row>
    <row r="74" spans="1:13" ht="5.45" hidden="1" customHeight="1">
      <c r="A74" s="146"/>
      <c r="B74" s="147"/>
      <c r="C74" s="156"/>
      <c r="D74" s="160"/>
      <c r="E74" s="161"/>
      <c r="F74" s="162"/>
      <c r="G74" s="163" t="s">
        <v>62</v>
      </c>
      <c r="H74" s="164"/>
    </row>
    <row r="75" spans="1:13" ht="24.95" customHeight="1">
      <c r="A75" s="172" t="s">
        <v>63</v>
      </c>
      <c r="B75" s="173"/>
      <c r="C75" s="38" t="s">
        <v>100</v>
      </c>
      <c r="D75" s="167"/>
      <c r="E75" s="168"/>
      <c r="F75" s="169"/>
      <c r="G75" s="165" t="s">
        <v>65</v>
      </c>
      <c r="H75" s="166"/>
      <c r="J75" s="38">
        <v>75</v>
      </c>
    </row>
    <row r="76" spans="1:13" ht="24.95" hidden="1" customHeight="1">
      <c r="A76" s="174"/>
      <c r="B76" s="175"/>
      <c r="C76" s="38" t="s">
        <v>66</v>
      </c>
      <c r="D76" s="167">
        <f>H64</f>
        <v>258277.3988</v>
      </c>
      <c r="E76" s="168"/>
      <c r="F76" s="169"/>
      <c r="G76" s="165" t="s">
        <v>65</v>
      </c>
      <c r="H76" s="166"/>
      <c r="J76" s="38">
        <v>120</v>
      </c>
      <c r="L76" s="46"/>
    </row>
    <row r="77" spans="1:13" ht="24.95" hidden="1" customHeight="1">
      <c r="A77" s="174"/>
      <c r="B77" s="175"/>
      <c r="C77" s="38" t="s">
        <v>64</v>
      </c>
      <c r="D77" s="167">
        <f>H64*3</f>
        <v>774832.19640000002</v>
      </c>
      <c r="E77" s="168"/>
      <c r="F77" s="169"/>
      <c r="G77" s="165" t="s">
        <v>67</v>
      </c>
      <c r="H77" s="166"/>
      <c r="J77" s="38">
        <f t="shared" ref="J77" si="13">J76+15</f>
        <v>135</v>
      </c>
      <c r="L77" s="46"/>
    </row>
    <row r="78" spans="1:13" ht="24.95" hidden="1" customHeight="1">
      <c r="A78" s="174"/>
      <c r="B78" s="175"/>
      <c r="C78" s="38" t="s">
        <v>68</v>
      </c>
      <c r="D78" s="167">
        <f>H64*3</f>
        <v>774832.19640000002</v>
      </c>
      <c r="E78" s="168"/>
      <c r="F78" s="169"/>
      <c r="G78" s="165" t="s">
        <v>69</v>
      </c>
      <c r="H78" s="166"/>
      <c r="J78" s="38">
        <f>J77+15</f>
        <v>150</v>
      </c>
    </row>
    <row r="79" spans="1:13" ht="24.95" hidden="1" customHeight="1">
      <c r="A79" s="174"/>
      <c r="B79" s="175"/>
      <c r="C79" s="38" t="s">
        <v>70</v>
      </c>
      <c r="D79" s="167">
        <f>H64*2</f>
        <v>516554.79759999999</v>
      </c>
      <c r="E79" s="168"/>
      <c r="F79" s="169"/>
      <c r="G79" s="165" t="s">
        <v>71</v>
      </c>
      <c r="H79" s="166"/>
      <c r="J79" s="47"/>
    </row>
    <row r="80" spans="1:13" ht="24.95" hidden="1" customHeight="1">
      <c r="A80" s="174"/>
      <c r="B80" s="175"/>
      <c r="C80" s="38" t="s">
        <v>72</v>
      </c>
      <c r="D80" s="167">
        <f>H64*2</f>
        <v>516554.79759999999</v>
      </c>
      <c r="E80" s="168"/>
      <c r="F80" s="169"/>
      <c r="G80" s="165" t="s">
        <v>71</v>
      </c>
      <c r="H80" s="166"/>
      <c r="J80" s="47"/>
    </row>
    <row r="81" spans="1:11" ht="24.95" hidden="1" customHeight="1">
      <c r="A81" s="176"/>
      <c r="B81" s="177"/>
      <c r="C81" s="38" t="s">
        <v>73</v>
      </c>
      <c r="D81" s="167">
        <f>H64*3</f>
        <v>774832.19640000002</v>
      </c>
      <c r="E81" s="168"/>
      <c r="F81" s="169"/>
      <c r="G81" s="165" t="s">
        <v>74</v>
      </c>
      <c r="H81" s="166"/>
      <c r="J81" s="47"/>
    </row>
    <row r="82" spans="1:11" ht="19.149999999999999" customHeight="1">
      <c r="A82" s="135" t="s">
        <v>75</v>
      </c>
      <c r="B82" s="135"/>
      <c r="C82" s="170" t="s">
        <v>76</v>
      </c>
      <c r="D82" s="170"/>
      <c r="E82" s="170"/>
      <c r="F82" s="170"/>
      <c r="G82" s="91"/>
      <c r="H82" s="171"/>
      <c r="J82" s="46">
        <f>SUM(D76:F78)</f>
        <v>1807941.7916000001</v>
      </c>
    </row>
    <row r="83" spans="1:11" ht="10.15" customHeight="1">
      <c r="A83" s="88"/>
      <c r="B83" s="88"/>
      <c r="C83" s="88"/>
      <c r="D83" s="88"/>
      <c r="E83" s="88"/>
      <c r="F83" s="88"/>
      <c r="G83" s="189"/>
      <c r="H83" s="189"/>
      <c r="J83" s="46"/>
      <c r="K83" s="46"/>
    </row>
    <row r="84" spans="1:11" ht="69.75" customHeight="1">
      <c r="A84" s="137" t="s">
        <v>77</v>
      </c>
      <c r="B84" s="137"/>
      <c r="C84" s="190" t="s">
        <v>168</v>
      </c>
      <c r="D84" s="190"/>
      <c r="E84" s="190"/>
      <c r="F84" s="190"/>
      <c r="G84" s="190"/>
      <c r="H84" s="39"/>
      <c r="J84" s="46"/>
    </row>
    <row r="85" spans="1:11" ht="27" customHeight="1">
      <c r="A85" s="137"/>
      <c r="B85" s="137"/>
      <c r="C85" s="190" t="s">
        <v>78</v>
      </c>
      <c r="D85" s="190"/>
      <c r="E85" s="190"/>
      <c r="F85" s="190"/>
      <c r="G85" s="190"/>
      <c r="H85" s="39"/>
    </row>
    <row r="86" spans="1:11" ht="67.150000000000006" customHeight="1">
      <c r="A86" s="137"/>
      <c r="B86" s="137"/>
      <c r="C86" s="190" t="s">
        <v>96</v>
      </c>
      <c r="D86" s="190"/>
      <c r="E86" s="190"/>
      <c r="F86" s="190"/>
      <c r="G86" s="190"/>
      <c r="H86" s="39"/>
    </row>
    <row r="87" spans="1:11" ht="54" customHeight="1">
      <c r="A87" s="137"/>
      <c r="B87" s="137"/>
      <c r="C87" s="190" t="s">
        <v>80</v>
      </c>
      <c r="D87" s="190"/>
      <c r="E87" s="190"/>
      <c r="F87" s="190"/>
      <c r="G87" s="190"/>
      <c r="H87" s="39"/>
    </row>
    <row r="88" spans="1:11" ht="150.75" hidden="1" customHeight="1">
      <c r="A88" s="137"/>
      <c r="B88" s="137"/>
      <c r="C88" s="181" t="s">
        <v>81</v>
      </c>
      <c r="D88" s="182"/>
      <c r="E88" s="182"/>
      <c r="F88" s="182"/>
      <c r="G88" s="183"/>
      <c r="H88" s="39"/>
    </row>
    <row r="89" spans="1:11" ht="30" customHeight="1">
      <c r="A89" s="137"/>
      <c r="B89" s="137"/>
      <c r="C89" s="190" t="s">
        <v>82</v>
      </c>
      <c r="D89" s="190"/>
      <c r="E89" s="190"/>
      <c r="F89" s="190"/>
      <c r="G89" s="190"/>
      <c r="H89" s="39"/>
    </row>
    <row r="90" spans="1:11" ht="51" customHeight="1">
      <c r="A90" s="137"/>
      <c r="B90" s="137"/>
      <c r="C90" s="190" t="s">
        <v>83</v>
      </c>
      <c r="D90" s="190"/>
      <c r="E90" s="190"/>
      <c r="F90" s="190"/>
      <c r="G90" s="190"/>
      <c r="H90" s="39"/>
    </row>
    <row r="91" spans="1:11" ht="64.5" hidden="1" customHeight="1">
      <c r="A91" s="137"/>
      <c r="B91" s="137"/>
      <c r="C91" s="181" t="s">
        <v>84</v>
      </c>
      <c r="D91" s="182"/>
      <c r="E91" s="182"/>
      <c r="F91" s="182"/>
      <c r="G91" s="183"/>
      <c r="H91" s="39"/>
    </row>
    <row r="92" spans="1:11" ht="103.5" customHeight="1">
      <c r="A92" s="137"/>
      <c r="B92" s="137"/>
      <c r="C92" s="184" t="s">
        <v>85</v>
      </c>
      <c r="D92" s="184"/>
      <c r="E92" s="184"/>
      <c r="F92" s="184"/>
      <c r="G92" s="184"/>
      <c r="H92" s="39"/>
    </row>
    <row r="93" spans="1:11" ht="24.95" customHeight="1">
      <c r="A93" s="137"/>
      <c r="B93" s="137"/>
      <c r="C93" s="184" t="s">
        <v>86</v>
      </c>
      <c r="D93" s="184"/>
      <c r="E93" s="184"/>
      <c r="F93" s="184"/>
      <c r="G93" s="184"/>
      <c r="H93" s="39"/>
    </row>
    <row r="94" spans="1:11" ht="7.9" customHeight="1">
      <c r="A94" s="185"/>
      <c r="B94" s="185"/>
      <c r="C94" s="185"/>
      <c r="D94" s="185"/>
      <c r="E94" s="185"/>
      <c r="F94" s="185"/>
      <c r="G94" s="185"/>
      <c r="H94" s="185"/>
    </row>
    <row r="95" spans="1:11" ht="30" customHeight="1">
      <c r="A95" s="185"/>
      <c r="B95" s="185"/>
      <c r="C95" s="185"/>
      <c r="D95" s="185"/>
      <c r="E95" s="185"/>
      <c r="F95" s="185"/>
      <c r="G95" s="185"/>
      <c r="H95" s="185"/>
    </row>
    <row r="96" spans="1:11" ht="30" customHeight="1">
      <c r="A96" s="185"/>
      <c r="B96" s="185"/>
      <c r="C96" s="185"/>
      <c r="D96" s="185"/>
      <c r="E96" s="185"/>
      <c r="F96" s="185"/>
      <c r="G96" s="185"/>
      <c r="H96" s="185"/>
    </row>
    <row r="97" spans="1:8" ht="24" customHeight="1">
      <c r="A97" s="185"/>
      <c r="B97" s="185"/>
      <c r="C97" s="185"/>
      <c r="D97" s="185"/>
      <c r="E97" s="185"/>
      <c r="F97" s="185"/>
      <c r="G97" s="185"/>
      <c r="H97" s="185"/>
    </row>
    <row r="98" spans="1:8" ht="43.9" customHeight="1">
      <c r="A98" s="185"/>
      <c r="B98" s="185"/>
      <c r="C98" s="185"/>
      <c r="D98" s="185"/>
      <c r="E98" s="185"/>
      <c r="F98" s="185"/>
      <c r="G98" s="185"/>
      <c r="H98" s="185"/>
    </row>
    <row r="99" spans="1:8" ht="18">
      <c r="A99" s="186" t="s">
        <v>87</v>
      </c>
      <c r="B99" s="187"/>
      <c r="C99" s="187"/>
      <c r="D99" s="187"/>
      <c r="E99" s="187"/>
      <c r="F99" s="187"/>
      <c r="G99" s="187"/>
      <c r="H99" s="188"/>
    </row>
    <row r="100" spans="1:8">
      <c r="A100" s="178" t="s">
        <v>88</v>
      </c>
      <c r="B100" s="179"/>
      <c r="C100" s="179"/>
      <c r="D100" s="179"/>
      <c r="E100" s="179"/>
      <c r="F100" s="179"/>
      <c r="G100" s="179"/>
      <c r="H100" s="180"/>
    </row>
  </sheetData>
  <mergeCells count="117">
    <mergeCell ref="A95:H98"/>
    <mergeCell ref="A99:H99"/>
    <mergeCell ref="A100:H100"/>
    <mergeCell ref="C89:G89"/>
    <mergeCell ref="C90:G90"/>
    <mergeCell ref="C91:G91"/>
    <mergeCell ref="C92:G92"/>
    <mergeCell ref="C93:G93"/>
    <mergeCell ref="A94:H94"/>
    <mergeCell ref="A82:B82"/>
    <mergeCell ref="C82:F82"/>
    <mergeCell ref="G82:H82"/>
    <mergeCell ref="A83:H83"/>
    <mergeCell ref="A84:B93"/>
    <mergeCell ref="C84:G84"/>
    <mergeCell ref="C85:G85"/>
    <mergeCell ref="C86:G86"/>
    <mergeCell ref="C87:G87"/>
    <mergeCell ref="C88:G88"/>
    <mergeCell ref="D79:F79"/>
    <mergeCell ref="G79:H79"/>
    <mergeCell ref="D80:F80"/>
    <mergeCell ref="G80:H80"/>
    <mergeCell ref="D81:F81"/>
    <mergeCell ref="G81:H81"/>
    <mergeCell ref="G74:H74"/>
    <mergeCell ref="A75:B81"/>
    <mergeCell ref="D75:F75"/>
    <mergeCell ref="G75:H75"/>
    <mergeCell ref="D76:F76"/>
    <mergeCell ref="G76:H76"/>
    <mergeCell ref="D77:F77"/>
    <mergeCell ref="G77:H77"/>
    <mergeCell ref="D78:F78"/>
    <mergeCell ref="G78:H78"/>
    <mergeCell ref="A69:B69"/>
    <mergeCell ref="C69:F69"/>
    <mergeCell ref="G69:H69"/>
    <mergeCell ref="A70:B74"/>
    <mergeCell ref="D70:F70"/>
    <mergeCell ref="G70:H73"/>
    <mergeCell ref="D71:F71"/>
    <mergeCell ref="D72:F72"/>
    <mergeCell ref="C73:C74"/>
    <mergeCell ref="D73:F74"/>
    <mergeCell ref="A65:H65"/>
    <mergeCell ref="A66:H66"/>
    <mergeCell ref="A67:H67"/>
    <mergeCell ref="A68:B68"/>
    <mergeCell ref="C68:F68"/>
    <mergeCell ref="G68:H68"/>
    <mergeCell ref="A54:H54"/>
    <mergeCell ref="A55:H55"/>
    <mergeCell ref="A56:H57"/>
    <mergeCell ref="A58:F60"/>
    <mergeCell ref="A61:B64"/>
    <mergeCell ref="C61:F64"/>
    <mergeCell ref="A48:H48"/>
    <mergeCell ref="C49:F49"/>
    <mergeCell ref="C50:F50"/>
    <mergeCell ref="C51:F51"/>
    <mergeCell ref="C52:F52"/>
    <mergeCell ref="C53:F53"/>
    <mergeCell ref="C42:F42"/>
    <mergeCell ref="C43:F43"/>
    <mergeCell ref="C44:F44"/>
    <mergeCell ref="A45:H45"/>
    <mergeCell ref="C46:F46"/>
    <mergeCell ref="A47:H47"/>
    <mergeCell ref="A36:H36"/>
    <mergeCell ref="C37:F37"/>
    <mergeCell ref="C38:F38"/>
    <mergeCell ref="C39:F39"/>
    <mergeCell ref="A40:H40"/>
    <mergeCell ref="A41:H41"/>
    <mergeCell ref="A30:H30"/>
    <mergeCell ref="A31:H31"/>
    <mergeCell ref="C32:F32"/>
    <mergeCell ref="C33:F33"/>
    <mergeCell ref="C34:F34"/>
    <mergeCell ref="A35:H35"/>
    <mergeCell ref="C24:F24"/>
    <mergeCell ref="A25:H25"/>
    <mergeCell ref="A26:H26"/>
    <mergeCell ref="C27:F27"/>
    <mergeCell ref="C28:F28"/>
    <mergeCell ref="C29:F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E18414A1-742A-43F5-BCF9-812E8B251496}"/>
  </hyperlinks>
  <printOptions horizontalCentered="1"/>
  <pageMargins left="3.937007874015748E-2" right="3.937007874015748E-2" top="0.35433070866141736" bottom="0.35433070866141736" header="0.31496062992125984" footer="0.31496062992125984"/>
  <pageSetup scale="60" fitToHeight="0" orientation="portrait" r:id="rId2"/>
  <rowBreaks count="4" manualBreakCount="4">
    <brk id="46" max="7" man="1"/>
    <brk id="57" max="7" man="1"/>
    <brk id="82" max="7" man="1"/>
    <brk id="100" max="16383" man="1"/>
  </row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77C0-63A5-4A0C-89BE-13944E562DB8}">
  <dimension ref="A1:R186"/>
  <sheetViews>
    <sheetView view="pageBreakPreview" topLeftCell="A146" zoomScale="85" zoomScaleNormal="80" zoomScaleSheetLayoutView="85" workbookViewId="0">
      <selection activeCell="C172" sqref="C172:G172"/>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173</v>
      </c>
    </row>
    <row r="3" spans="1:18" ht="25.15" customHeight="1">
      <c r="A3" s="93" t="s">
        <v>3</v>
      </c>
      <c r="B3" s="93"/>
      <c r="C3" s="94" t="s">
        <v>4</v>
      </c>
      <c r="D3" s="94"/>
      <c r="E3" s="94"/>
      <c r="F3" s="94"/>
      <c r="G3" s="94"/>
      <c r="H3" s="94"/>
    </row>
    <row r="4" spans="1:18" ht="93.75" customHeight="1">
      <c r="A4" s="93" t="s">
        <v>5</v>
      </c>
      <c r="B4" s="93"/>
      <c r="C4" s="97" t="s">
        <v>172</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270</v>
      </c>
    </row>
    <row r="11" spans="1:18" s="2" customFormat="1" ht="21.95" customHeight="1">
      <c r="A11" s="14">
        <f>N11</f>
        <v>466.30500000000001</v>
      </c>
      <c r="B11" s="15" t="s">
        <v>18</v>
      </c>
      <c r="C11" s="76" t="s">
        <v>19</v>
      </c>
      <c r="D11" s="76"/>
      <c r="E11" s="76"/>
      <c r="F11" s="76"/>
      <c r="G11" s="16">
        <f>R10</f>
        <v>270</v>
      </c>
      <c r="H11" s="17">
        <f>G11*A11</f>
        <v>125902.35</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270</v>
      </c>
      <c r="H12" s="17">
        <f>A12*G12</f>
        <v>37212.209999999992</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270</v>
      </c>
      <c r="H13" s="17">
        <f>A13*G13</f>
        <v>17920.035000000003</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183554.595</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270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270</v>
      </c>
      <c r="H22" s="17">
        <f t="shared" si="1"/>
        <v>9253.4399999999987</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9253.4399999999987</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270</v>
      </c>
      <c r="H27" s="17">
        <f>G27*A27</f>
        <v>7711.47</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7711.47</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270</v>
      </c>
      <c r="H32" s="17">
        <f>G32*A32</f>
        <v>13608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13608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214127.505</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270</v>
      </c>
    </row>
    <row r="39" spans="1:18" s="2" customFormat="1" ht="21.95" customHeight="1">
      <c r="A39" s="14">
        <f>N39</f>
        <v>466.30500000000001</v>
      </c>
      <c r="B39" s="15" t="s">
        <v>18</v>
      </c>
      <c r="C39" s="76" t="s">
        <v>19</v>
      </c>
      <c r="D39" s="76"/>
      <c r="E39" s="76"/>
      <c r="F39" s="76"/>
      <c r="G39" s="16">
        <f>R38</f>
        <v>270</v>
      </c>
      <c r="H39" s="17">
        <f>G39*A39</f>
        <v>125902.35</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270</v>
      </c>
      <c r="H40" s="17">
        <f>A40*G40</f>
        <v>37212.209999999992</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270</v>
      </c>
      <c r="H41" s="17">
        <f>A41*G41</f>
        <v>17920.035000000003</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183554.595</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270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270</v>
      </c>
      <c r="H50" s="17">
        <f t="shared" si="9"/>
        <v>9253.4399999999987</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9253.4399999999987</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270</v>
      </c>
      <c r="H55" s="17">
        <f>G55*A55</f>
        <v>7711.47</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7711.47</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200519.505</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270</v>
      </c>
    </row>
    <row r="62" spans="1:18" s="2" customFormat="1" ht="21.95" customHeight="1">
      <c r="A62" s="14">
        <f>N62</f>
        <v>466.30500000000001</v>
      </c>
      <c r="B62" s="15" t="s">
        <v>18</v>
      </c>
      <c r="C62" s="76" t="s">
        <v>19</v>
      </c>
      <c r="D62" s="76"/>
      <c r="E62" s="76"/>
      <c r="F62" s="76"/>
      <c r="G62" s="16">
        <f>R61</f>
        <v>270</v>
      </c>
      <c r="H62" s="17">
        <f>G62*A62</f>
        <v>125902.35</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270</v>
      </c>
      <c r="H63" s="17">
        <f>A63*G63</f>
        <v>37212.209999999992</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270</v>
      </c>
      <c r="H64" s="17">
        <f>A64*G64</f>
        <v>17920.035000000003</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183554.595</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270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270</v>
      </c>
      <c r="H73" s="17">
        <f t="shared" si="15"/>
        <v>9253.4399999999987</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9253.4399999999987</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270</v>
      </c>
      <c r="H78" s="17">
        <f>G78*A78</f>
        <v>7711.47</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7711.47</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200519.505</v>
      </c>
      <c r="K81" s="62"/>
    </row>
    <row r="82" spans="1:18" s="48" customFormat="1">
      <c r="A82" s="100"/>
      <c r="B82" s="101"/>
      <c r="C82" s="101"/>
      <c r="D82" s="101"/>
      <c r="E82" s="101"/>
      <c r="F82" s="101"/>
      <c r="G82" s="101"/>
      <c r="H82" s="102"/>
    </row>
    <row r="83" spans="1:18" s="48" customFormat="1" ht="18">
      <c r="A83" s="74" t="s">
        <v>131</v>
      </c>
      <c r="B83" s="74"/>
      <c r="C83" s="74"/>
      <c r="D83" s="74"/>
      <c r="E83" s="74"/>
      <c r="F83" s="74"/>
      <c r="G83" s="74"/>
      <c r="H83" s="74"/>
      <c r="R83" s="48" t="s">
        <v>9</v>
      </c>
    </row>
    <row r="84" spans="1:18" s="52" customFormat="1" ht="15">
      <c r="A84" s="73" t="s">
        <v>10</v>
      </c>
      <c r="B84" s="50" t="s">
        <v>11</v>
      </c>
      <c r="C84" s="75" t="s">
        <v>12</v>
      </c>
      <c r="D84" s="75"/>
      <c r="E84" s="75"/>
      <c r="F84" s="75"/>
      <c r="G84" s="51" t="s">
        <v>13</v>
      </c>
      <c r="H84" s="51" t="s">
        <v>9</v>
      </c>
      <c r="J84" s="52" t="s">
        <v>14</v>
      </c>
      <c r="K84" s="52" t="s">
        <v>15</v>
      </c>
      <c r="L84" s="52" t="s">
        <v>16</v>
      </c>
      <c r="N84" s="52" t="s">
        <v>17</v>
      </c>
      <c r="R84" s="52">
        <v>270</v>
      </c>
    </row>
    <row r="85" spans="1:18" s="2" customFormat="1" ht="21.95" customHeight="1">
      <c r="A85" s="14">
        <f>N85</f>
        <v>466.30500000000001</v>
      </c>
      <c r="B85" s="15" t="s">
        <v>18</v>
      </c>
      <c r="C85" s="76" t="s">
        <v>19</v>
      </c>
      <c r="D85" s="76"/>
      <c r="E85" s="76"/>
      <c r="F85" s="76"/>
      <c r="G85" s="16">
        <f>R84</f>
        <v>270</v>
      </c>
      <c r="H85" s="17">
        <f>G85*A85</f>
        <v>125902.35</v>
      </c>
      <c r="J85" s="2">
        <v>444.1</v>
      </c>
      <c r="K85" s="40">
        <v>0.05</v>
      </c>
      <c r="L85" s="2">
        <f>J85*K85</f>
        <v>22.205000000000002</v>
      </c>
      <c r="N85" s="2">
        <f>J85+L85</f>
        <v>466.30500000000001</v>
      </c>
      <c r="O85" s="2">
        <v>2</v>
      </c>
      <c r="P85" s="2">
        <f>J85/O85</f>
        <v>222.05</v>
      </c>
    </row>
    <row r="86" spans="1:18" s="2" customFormat="1" ht="21.95" customHeight="1">
      <c r="A86" s="14">
        <f>N86</f>
        <v>137.82299999999998</v>
      </c>
      <c r="B86" s="15" t="s">
        <v>18</v>
      </c>
      <c r="C86" s="76" t="s">
        <v>20</v>
      </c>
      <c r="D86" s="76"/>
      <c r="E86" s="76"/>
      <c r="F86" s="76"/>
      <c r="G86" s="16">
        <f>R84</f>
        <v>270</v>
      </c>
      <c r="H86" s="17">
        <f>A86*G86</f>
        <v>37212.209999999992</v>
      </c>
      <c r="J86" s="2">
        <v>131.26</v>
      </c>
      <c r="K86" s="40">
        <v>0.05</v>
      </c>
      <c r="L86" s="2">
        <f>J86*K86</f>
        <v>6.5629999999999997</v>
      </c>
      <c r="N86" s="2">
        <f>J86+L86</f>
        <v>137.82299999999998</v>
      </c>
      <c r="O86" s="2">
        <v>2</v>
      </c>
      <c r="P86" s="2">
        <f t="shared" ref="P86:P87" si="20">J86/O86</f>
        <v>65.63</v>
      </c>
    </row>
    <row r="87" spans="1:18" s="2" customFormat="1" ht="21.95" customHeight="1">
      <c r="A87" s="14">
        <f>N87</f>
        <v>66.370500000000007</v>
      </c>
      <c r="B87" s="15" t="s">
        <v>18</v>
      </c>
      <c r="C87" s="76" t="s">
        <v>21</v>
      </c>
      <c r="D87" s="76"/>
      <c r="E87" s="76"/>
      <c r="F87" s="76"/>
      <c r="G87" s="16">
        <f>G86</f>
        <v>270</v>
      </c>
      <c r="H87" s="17">
        <f>A87*G87</f>
        <v>17920.035000000003</v>
      </c>
      <c r="J87" s="2">
        <v>63.21</v>
      </c>
      <c r="K87" s="40">
        <v>0.05</v>
      </c>
      <c r="L87" s="2">
        <f>J87*K87</f>
        <v>3.1605000000000003</v>
      </c>
      <c r="N87" s="2">
        <f>J87+L87</f>
        <v>66.370500000000007</v>
      </c>
      <c r="O87" s="2">
        <v>2</v>
      </c>
      <c r="P87" s="2">
        <f t="shared" si="20"/>
        <v>31.605</v>
      </c>
    </row>
    <row r="88" spans="1:18" s="2" customFormat="1" ht="45" customHeight="1">
      <c r="A88" s="81" t="s">
        <v>24</v>
      </c>
      <c r="B88" s="82"/>
      <c r="C88" s="82"/>
      <c r="D88" s="82"/>
      <c r="E88" s="82"/>
      <c r="F88" s="82"/>
      <c r="G88" s="18"/>
      <c r="H88" s="18"/>
      <c r="J88" s="2">
        <f>J85+J86+J87</f>
        <v>638.57000000000005</v>
      </c>
      <c r="K88" s="40"/>
      <c r="N88" s="2">
        <f>N85+N86</f>
        <v>604.12799999999993</v>
      </c>
    </row>
    <row r="89" spans="1:18" s="3" customFormat="1" ht="15.75">
      <c r="A89" s="19">
        <f>A85+A86+A87</f>
        <v>670.49849999999992</v>
      </c>
      <c r="B89" s="20" t="s">
        <v>25</v>
      </c>
      <c r="C89" s="83"/>
      <c r="D89" s="83"/>
      <c r="E89" s="83"/>
      <c r="F89" s="83"/>
      <c r="G89" s="20" t="s">
        <v>26</v>
      </c>
      <c r="H89" s="21">
        <f>H85+H86+H87</f>
        <v>181034.595</v>
      </c>
      <c r="K89" s="40"/>
      <c r="L89" s="2"/>
      <c r="N89" s="2"/>
    </row>
    <row r="90" spans="1:18" s="58" customFormat="1" ht="15.75">
      <c r="A90" s="86"/>
      <c r="B90" s="86"/>
      <c r="C90" s="86"/>
      <c r="D90" s="86"/>
      <c r="E90" s="86"/>
      <c r="F90" s="86"/>
      <c r="G90" s="86"/>
      <c r="H90" s="86"/>
      <c r="K90" s="57"/>
      <c r="L90" s="56"/>
      <c r="N90" s="56"/>
    </row>
    <row r="91" spans="1:18" s="48" customFormat="1" ht="29.25" customHeight="1">
      <c r="A91" s="87" t="s">
        <v>132</v>
      </c>
      <c r="B91" s="87"/>
      <c r="C91" s="87"/>
      <c r="D91" s="87"/>
      <c r="E91" s="87"/>
      <c r="F91" s="87"/>
      <c r="G91" s="87"/>
      <c r="H91" s="87"/>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56" customFormat="1" ht="21.6" hidden="1" customHeight="1">
      <c r="A93" s="53">
        <v>0</v>
      </c>
      <c r="B93" s="54" t="s">
        <v>18</v>
      </c>
      <c r="C93" s="77" t="s">
        <v>28</v>
      </c>
      <c r="D93" s="78"/>
      <c r="E93" s="78"/>
      <c r="F93" s="79"/>
      <c r="G93" s="55">
        <f>R84</f>
        <v>270</v>
      </c>
      <c r="H93" s="17">
        <f t="shared" ref="H93:H95" si="21">G93*A93</f>
        <v>0</v>
      </c>
      <c r="I93" s="48"/>
      <c r="J93" s="56">
        <v>12</v>
      </c>
      <c r="K93" s="57">
        <v>0.1</v>
      </c>
      <c r="L93" s="56">
        <f t="shared" ref="L93:L95" si="22">J93*K93</f>
        <v>1.2000000000000002</v>
      </c>
      <c r="N93" s="56">
        <f t="shared" ref="N93:N95" si="23">J93+L93</f>
        <v>13.2</v>
      </c>
    </row>
    <row r="94" spans="1:18" s="56" customFormat="1" ht="21.6" customHeight="1">
      <c r="A94" s="53">
        <f>N94</f>
        <v>34.271999999999998</v>
      </c>
      <c r="B94" s="54" t="s">
        <v>18</v>
      </c>
      <c r="C94" s="80" t="s">
        <v>133</v>
      </c>
      <c r="D94" s="80"/>
      <c r="E94" s="80"/>
      <c r="F94" s="80"/>
      <c r="G94" s="55">
        <f>R84</f>
        <v>270</v>
      </c>
      <c r="H94" s="17">
        <f t="shared" si="21"/>
        <v>9253.4399999999987</v>
      </c>
      <c r="I94" s="48"/>
      <c r="J94" s="2">
        <v>32.64</v>
      </c>
      <c r="K94" s="57">
        <v>0.05</v>
      </c>
      <c r="L94" s="56">
        <f t="shared" si="22"/>
        <v>1.6320000000000001</v>
      </c>
      <c r="N94" s="56">
        <f t="shared" si="23"/>
        <v>34.271999999999998</v>
      </c>
    </row>
    <row r="95" spans="1:18" s="56" customFormat="1" ht="21.6" customHeight="1">
      <c r="A95" s="65">
        <f t="shared" ref="A95" si="24">N95</f>
        <v>11.55</v>
      </c>
      <c r="B95" s="54" t="s">
        <v>18</v>
      </c>
      <c r="C95" s="106" t="s">
        <v>30</v>
      </c>
      <c r="D95" s="106"/>
      <c r="E95" s="106"/>
      <c r="F95" s="106"/>
      <c r="G95" s="66">
        <f>R84</f>
        <v>270</v>
      </c>
      <c r="H95" s="17">
        <f t="shared" si="21"/>
        <v>3118.5</v>
      </c>
      <c r="I95" s="48"/>
      <c r="J95" s="2">
        <v>10.5</v>
      </c>
      <c r="K95" s="57">
        <v>0.1</v>
      </c>
      <c r="L95" s="56">
        <f t="shared" si="22"/>
        <v>1.05</v>
      </c>
      <c r="N95" s="56">
        <f t="shared" si="23"/>
        <v>11.55</v>
      </c>
    </row>
    <row r="96" spans="1:18" s="58" customFormat="1" ht="15.75">
      <c r="A96" s="19">
        <f>A94+A95</f>
        <v>45.822000000000003</v>
      </c>
      <c r="B96" s="20" t="s">
        <v>25</v>
      </c>
      <c r="C96" s="83"/>
      <c r="D96" s="83"/>
      <c r="E96" s="83"/>
      <c r="F96" s="83"/>
      <c r="G96" s="20" t="s">
        <v>26</v>
      </c>
      <c r="H96" s="22">
        <f>H94+H95</f>
        <v>12371.939999999999</v>
      </c>
      <c r="I96" s="48"/>
      <c r="J96" s="56">
        <f>SUM(J93:J95)</f>
        <v>55.14</v>
      </c>
      <c r="K96" s="57"/>
      <c r="L96" s="56"/>
      <c r="M96" s="56"/>
      <c r="N96" s="56"/>
    </row>
    <row r="97" spans="1:15" s="48" customFormat="1">
      <c r="A97" s="100"/>
      <c r="B97" s="101"/>
      <c r="C97" s="101"/>
      <c r="D97" s="101"/>
      <c r="E97" s="101"/>
      <c r="F97" s="101"/>
      <c r="G97" s="101"/>
      <c r="H97" s="102"/>
    </row>
    <row r="98" spans="1:15" s="48" customFormat="1" ht="18">
      <c r="A98" s="74" t="s">
        <v>136</v>
      </c>
      <c r="B98" s="74"/>
      <c r="C98" s="74"/>
      <c r="D98" s="74"/>
      <c r="E98" s="74"/>
      <c r="F98" s="74"/>
      <c r="G98" s="74"/>
      <c r="H98" s="74"/>
      <c r="J98" s="56"/>
      <c r="K98" s="57"/>
      <c r="L98" s="56"/>
      <c r="N98" s="56"/>
    </row>
    <row r="99" spans="1:15" s="52" customFormat="1" ht="15">
      <c r="A99" s="73" t="s">
        <v>10</v>
      </c>
      <c r="B99" s="50" t="s">
        <v>11</v>
      </c>
      <c r="C99" s="75" t="s">
        <v>12</v>
      </c>
      <c r="D99" s="75"/>
      <c r="E99" s="75"/>
      <c r="F99" s="75"/>
      <c r="G99" s="51" t="s">
        <v>13</v>
      </c>
      <c r="H99" s="51" t="s">
        <v>9</v>
      </c>
      <c r="I99" s="48"/>
      <c r="J99" s="56"/>
      <c r="K99" s="57"/>
      <c r="L99" s="56"/>
      <c r="N99" s="56"/>
    </row>
    <row r="100" spans="1:15" s="2" customFormat="1" ht="30.75" customHeight="1">
      <c r="A100" s="68">
        <f>N100</f>
        <v>43.05</v>
      </c>
      <c r="B100" s="15" t="s">
        <v>18</v>
      </c>
      <c r="C100" s="76" t="s">
        <v>135</v>
      </c>
      <c r="D100" s="76"/>
      <c r="E100" s="76"/>
      <c r="F100" s="76"/>
      <c r="G100" s="16">
        <v>270</v>
      </c>
      <c r="H100" s="17">
        <f>G100*A100</f>
        <v>11623.5</v>
      </c>
      <c r="I100" s="1"/>
      <c r="J100" s="2">
        <v>41</v>
      </c>
      <c r="K100" s="40">
        <v>0.05</v>
      </c>
      <c r="L100" s="2">
        <f t="shared" ref="L100" si="25">J100*K100</f>
        <v>2.0500000000000003</v>
      </c>
      <c r="N100" s="2">
        <f t="shared" ref="N100" si="26">J100+L100</f>
        <v>43.05</v>
      </c>
    </row>
    <row r="101" spans="1:15" s="58" customFormat="1" ht="15.75">
      <c r="A101" s="19">
        <f>SUM(A100:A100)</f>
        <v>43.05</v>
      </c>
      <c r="B101" s="20" t="s">
        <v>25</v>
      </c>
      <c r="C101" s="83"/>
      <c r="D101" s="83"/>
      <c r="E101" s="83"/>
      <c r="F101" s="83"/>
      <c r="G101" s="20" t="s">
        <v>26</v>
      </c>
      <c r="H101" s="22">
        <f>H100</f>
        <v>11623.5</v>
      </c>
      <c r="I101" s="48"/>
      <c r="J101" s="56" t="e">
        <f>J100+#REF!+#REF!+#REF!+#REF!+#REF!+#REF!+#REF!+#REF!+#REF!+#REF!+#REF!</f>
        <v>#REF!</v>
      </c>
      <c r="K101" s="57"/>
      <c r="L101" s="56"/>
      <c r="M101" s="56"/>
      <c r="N101" s="56"/>
    </row>
    <row r="102" spans="1:15" s="48" customFormat="1">
      <c r="A102" s="100"/>
      <c r="B102" s="101"/>
      <c r="C102" s="101"/>
      <c r="D102" s="101"/>
      <c r="E102" s="101"/>
      <c r="F102" s="101"/>
      <c r="G102" s="101"/>
      <c r="H102" s="102"/>
    </row>
    <row r="103" spans="1:15" s="48" customFormat="1" ht="18.75" customHeight="1">
      <c r="A103" s="60">
        <f>A101+A96+A89</f>
        <v>759.37049999999988</v>
      </c>
      <c r="B103" s="71" t="s">
        <v>25</v>
      </c>
      <c r="C103" s="107" t="s">
        <v>134</v>
      </c>
      <c r="D103" s="107"/>
      <c r="E103" s="107"/>
      <c r="F103" s="107"/>
      <c r="G103" s="71" t="s">
        <v>26</v>
      </c>
      <c r="H103" s="61">
        <f>H89+H96+H101</f>
        <v>205030.035</v>
      </c>
      <c r="K103" s="62"/>
    </row>
    <row r="104" spans="1:15" s="48" customFormat="1" ht="15.75" customHeight="1">
      <c r="A104" s="100"/>
      <c r="B104" s="101"/>
      <c r="C104" s="101"/>
      <c r="D104" s="101"/>
      <c r="E104" s="101"/>
      <c r="F104" s="101"/>
      <c r="G104" s="101"/>
      <c r="H104" s="102"/>
    </row>
    <row r="105" spans="1:15" s="48" customFormat="1" ht="18" hidden="1">
      <c r="A105" s="74" t="s">
        <v>33</v>
      </c>
      <c r="B105" s="74"/>
      <c r="C105" s="74"/>
      <c r="D105" s="74"/>
      <c r="E105" s="74"/>
      <c r="F105" s="74"/>
      <c r="G105" s="74"/>
      <c r="H105" s="74"/>
      <c r="J105" s="56"/>
      <c r="K105" s="57"/>
      <c r="L105" s="56">
        <v>90</v>
      </c>
      <c r="M105" s="48" t="e">
        <f>#REF!/L105</f>
        <v>#REF!</v>
      </c>
      <c r="N105" s="56">
        <v>30</v>
      </c>
      <c r="O105" s="48" t="e">
        <f>N105*M105</f>
        <v>#REF!</v>
      </c>
    </row>
    <row r="106" spans="1:15" s="52" customFormat="1" ht="15" hidden="1">
      <c r="A106" s="73" t="s">
        <v>10</v>
      </c>
      <c r="B106" s="50" t="s">
        <v>11</v>
      </c>
      <c r="C106" s="75" t="s">
        <v>12</v>
      </c>
      <c r="D106" s="75"/>
      <c r="E106" s="75"/>
      <c r="F106" s="75"/>
      <c r="G106" s="51" t="s">
        <v>13</v>
      </c>
      <c r="H106" s="51" t="s">
        <v>9</v>
      </c>
      <c r="I106" s="48"/>
      <c r="J106" s="56"/>
      <c r="K106" s="57"/>
      <c r="L106" s="56"/>
      <c r="N106" s="56"/>
    </row>
    <row r="107" spans="1:15" s="2" customFormat="1" ht="22.5" hidden="1" customHeight="1">
      <c r="A107" s="68">
        <v>0</v>
      </c>
      <c r="B107" s="15" t="s">
        <v>18</v>
      </c>
      <c r="C107" s="76" t="s">
        <v>34</v>
      </c>
      <c r="D107" s="76"/>
      <c r="E107" s="76"/>
      <c r="F107" s="76"/>
      <c r="G107" s="16" t="e">
        <f>#REF!</f>
        <v>#REF!</v>
      </c>
      <c r="H107" s="17" t="e">
        <f>G107*A107</f>
        <v>#REF!</v>
      </c>
      <c r="I107" s="1"/>
      <c r="J107" s="2">
        <v>25.55</v>
      </c>
      <c r="K107" s="40">
        <v>0.05</v>
      </c>
      <c r="L107" s="2">
        <f t="shared" ref="L107" si="27">J107*K107</f>
        <v>1.2775000000000001</v>
      </c>
      <c r="N107" s="2">
        <f t="shared" ref="N107" si="28">J107+L107</f>
        <v>26.827500000000001</v>
      </c>
    </row>
    <row r="108" spans="1:15" s="58" customFormat="1" ht="15.75" hidden="1">
      <c r="A108" s="19">
        <f>SUM(A107:A107)</f>
        <v>0</v>
      </c>
      <c r="B108" s="20" t="s">
        <v>25</v>
      </c>
      <c r="C108" s="83"/>
      <c r="D108" s="83"/>
      <c r="E108" s="83"/>
      <c r="F108" s="83"/>
      <c r="G108" s="20" t="s">
        <v>26</v>
      </c>
      <c r="H108" s="22" t="e">
        <f>H107</f>
        <v>#REF!</v>
      </c>
      <c r="I108" s="48"/>
      <c r="J108" s="56" t="e">
        <f>J107+#REF!+#REF!+#REF!+#REF!+J26+#REF!+J24+J23+J17+J16+J15</f>
        <v>#REF!</v>
      </c>
      <c r="K108" s="57"/>
      <c r="L108" s="56"/>
      <c r="M108" s="56"/>
      <c r="N108" s="56"/>
    </row>
    <row r="109" spans="1:15" s="48" customFormat="1" ht="15.75" hidden="1" customHeight="1">
      <c r="A109" s="100"/>
      <c r="B109" s="101"/>
      <c r="C109" s="101"/>
      <c r="D109" s="101"/>
      <c r="E109" s="101"/>
      <c r="F109" s="101"/>
      <c r="G109" s="101"/>
      <c r="H109" s="102"/>
    </row>
    <row r="110" spans="1:15" s="48" customFormat="1" ht="21.75" customHeight="1">
      <c r="A110" s="60">
        <f>A103+A81+A58+A35</f>
        <v>3009.7649999999994</v>
      </c>
      <c r="B110" s="71" t="s">
        <v>25</v>
      </c>
      <c r="C110" s="107" t="s">
        <v>92</v>
      </c>
      <c r="D110" s="107"/>
      <c r="E110" s="107"/>
      <c r="F110" s="107"/>
      <c r="G110" s="71" t="s">
        <v>26</v>
      </c>
      <c r="H110" s="61">
        <f>H103+H81+H58+H35</f>
        <v>820196.55</v>
      </c>
      <c r="K110" s="62"/>
    </row>
    <row r="111" spans="1:15" s="48" customFormat="1" ht="21.75" customHeight="1">
      <c r="A111" s="108"/>
      <c r="B111" s="108"/>
      <c r="C111" s="108"/>
      <c r="D111" s="108"/>
      <c r="E111" s="108"/>
      <c r="F111" s="108"/>
      <c r="G111" s="108"/>
      <c r="H111" s="108"/>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89</v>
      </c>
      <c r="D114" s="129"/>
      <c r="E114" s="129"/>
      <c r="F114" s="130"/>
      <c r="G114" s="24">
        <v>120</v>
      </c>
      <c r="H114" s="25">
        <f>A114*G114</f>
        <v>13200</v>
      </c>
    </row>
    <row r="115" spans="1:12" s="1" customFormat="1" ht="38.450000000000003" customHeight="1">
      <c r="A115" s="23">
        <v>75</v>
      </c>
      <c r="B115" s="23" t="s">
        <v>22</v>
      </c>
      <c r="C115" s="131" t="s">
        <v>90</v>
      </c>
      <c r="D115" s="131"/>
      <c r="E115" s="131"/>
      <c r="F115" s="131"/>
      <c r="G115" s="24">
        <v>60</v>
      </c>
      <c r="H115" s="25">
        <f>A115*G115</f>
        <v>4500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93</v>
      </c>
      <c r="D117" s="107"/>
      <c r="E117" s="107"/>
      <c r="F117" s="107"/>
      <c r="G117" s="27" t="s">
        <v>43</v>
      </c>
      <c r="H117" s="28">
        <f>H114+H115+H116</f>
        <v>26700</v>
      </c>
    </row>
    <row r="118" spans="1:12" s="48" customFormat="1">
      <c r="A118" s="108"/>
      <c r="B118" s="108"/>
      <c r="C118" s="108"/>
      <c r="D118" s="108"/>
      <c r="E118" s="108"/>
      <c r="F118" s="108"/>
      <c r="G118" s="108"/>
      <c r="H118" s="108"/>
      <c r="J118" s="48" t="e">
        <f>#REF!-#REF!-#REF!</f>
        <v>#REF!</v>
      </c>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89</v>
      </c>
      <c r="D121" s="129"/>
      <c r="E121" s="129"/>
      <c r="F121" s="130"/>
      <c r="G121" s="24">
        <v>120</v>
      </c>
      <c r="H121" s="25">
        <f>A121*G121</f>
        <v>13200</v>
      </c>
    </row>
    <row r="122" spans="1:12" s="1" customFormat="1" ht="38.450000000000003" customHeight="1">
      <c r="A122" s="23">
        <v>75</v>
      </c>
      <c r="B122" s="23" t="s">
        <v>22</v>
      </c>
      <c r="C122" s="131" t="s">
        <v>90</v>
      </c>
      <c r="D122" s="131"/>
      <c r="E122" s="131"/>
      <c r="F122" s="131"/>
      <c r="G122" s="24">
        <v>60</v>
      </c>
      <c r="H122" s="25">
        <f>A122*G122</f>
        <v>4500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137</v>
      </c>
      <c r="D124" s="107"/>
      <c r="E124" s="107"/>
      <c r="F124" s="107"/>
      <c r="G124" s="27" t="s">
        <v>43</v>
      </c>
      <c r="H124" s="28">
        <f>H121+H122+H123</f>
        <v>26700</v>
      </c>
    </row>
    <row r="125" spans="1:12" s="48" customFormat="1">
      <c r="A125" s="100"/>
      <c r="B125" s="101"/>
      <c r="C125" s="101"/>
      <c r="D125" s="101"/>
      <c r="E125" s="101"/>
      <c r="F125" s="101"/>
      <c r="G125" s="101"/>
      <c r="H125" s="102"/>
    </row>
    <row r="126" spans="1:12" s="1" customFormat="1" ht="18">
      <c r="A126" s="109" t="s">
        <v>36</v>
      </c>
      <c r="B126" s="109"/>
      <c r="C126" s="109"/>
      <c r="D126" s="109"/>
      <c r="E126" s="109"/>
      <c r="F126" s="109"/>
      <c r="G126" s="109"/>
      <c r="H126" s="109"/>
    </row>
    <row r="127" spans="1:12" s="1" customFormat="1" ht="15">
      <c r="A127" s="72" t="s">
        <v>10</v>
      </c>
      <c r="B127" s="12" t="s">
        <v>11</v>
      </c>
      <c r="C127" s="110" t="s">
        <v>37</v>
      </c>
      <c r="D127" s="110"/>
      <c r="E127" s="110"/>
      <c r="F127" s="110"/>
      <c r="G127" s="13" t="s">
        <v>13</v>
      </c>
      <c r="H127" s="13" t="s">
        <v>9</v>
      </c>
      <c r="J127" s="1">
        <v>1700</v>
      </c>
      <c r="K127" s="1">
        <f>J127/A129</f>
        <v>22.666666666666668</v>
      </c>
    </row>
    <row r="128" spans="1:12" s="1" customFormat="1" ht="53.1" customHeight="1">
      <c r="A128" s="23">
        <v>110</v>
      </c>
      <c r="B128" s="23" t="s">
        <v>22</v>
      </c>
      <c r="C128" s="128" t="s">
        <v>89</v>
      </c>
      <c r="D128" s="129"/>
      <c r="E128" s="129"/>
      <c r="F128" s="130"/>
      <c r="G128" s="24">
        <v>120</v>
      </c>
      <c r="H128" s="25">
        <f>A128*G128</f>
        <v>13200</v>
      </c>
    </row>
    <row r="129" spans="1:12" s="1" customFormat="1" ht="38.450000000000003" customHeight="1">
      <c r="A129" s="23">
        <v>75</v>
      </c>
      <c r="B129" s="23" t="s">
        <v>22</v>
      </c>
      <c r="C129" s="131" t="s">
        <v>90</v>
      </c>
      <c r="D129" s="131"/>
      <c r="E129" s="131"/>
      <c r="F129" s="131"/>
      <c r="G129" s="24">
        <v>60</v>
      </c>
      <c r="H129" s="25">
        <f>A129*G129</f>
        <v>4500</v>
      </c>
      <c r="J129"/>
      <c r="L129"/>
    </row>
    <row r="130" spans="1:12" s="1" customFormat="1" ht="42.95" customHeight="1">
      <c r="A130" s="15">
        <v>1</v>
      </c>
      <c r="B130" s="15" t="s">
        <v>40</v>
      </c>
      <c r="C130" s="132" t="s">
        <v>41</v>
      </c>
      <c r="D130" s="133"/>
      <c r="E130" s="133"/>
      <c r="F130" s="133"/>
      <c r="G130" s="24">
        <v>9000</v>
      </c>
      <c r="H130" s="25">
        <f>A130*G130</f>
        <v>9000</v>
      </c>
      <c r="J130"/>
      <c r="L130"/>
    </row>
    <row r="131" spans="1:12" s="48" customFormat="1" ht="15.75">
      <c r="A131" s="71"/>
      <c r="B131" s="71" t="s">
        <v>17</v>
      </c>
      <c r="C131" s="107" t="s">
        <v>138</v>
      </c>
      <c r="D131" s="107"/>
      <c r="E131" s="107"/>
      <c r="F131" s="107"/>
      <c r="G131" s="27" t="s">
        <v>43</v>
      </c>
      <c r="H131" s="28">
        <f>H128+H129+H130</f>
        <v>26700</v>
      </c>
    </row>
    <row r="132" spans="1:12" s="48" customFormat="1">
      <c r="A132" s="100"/>
      <c r="B132" s="101"/>
      <c r="C132" s="101"/>
      <c r="D132" s="101"/>
      <c r="E132" s="101"/>
      <c r="F132" s="101"/>
      <c r="G132" s="101"/>
      <c r="H132" s="102"/>
    </row>
    <row r="133" spans="1:12" s="1" customFormat="1" ht="18">
      <c r="A133" s="109" t="s">
        <v>36</v>
      </c>
      <c r="B133" s="109"/>
      <c r="C133" s="109"/>
      <c r="D133" s="109"/>
      <c r="E133" s="109"/>
      <c r="F133" s="109"/>
      <c r="G133" s="109"/>
      <c r="H133" s="109"/>
    </row>
    <row r="134" spans="1:12" s="1" customFormat="1" ht="15">
      <c r="A134" s="72" t="s">
        <v>10</v>
      </c>
      <c r="B134" s="12" t="s">
        <v>11</v>
      </c>
      <c r="C134" s="110" t="s">
        <v>37</v>
      </c>
      <c r="D134" s="110"/>
      <c r="E134" s="110"/>
      <c r="F134" s="110"/>
      <c r="G134" s="13" t="s">
        <v>13</v>
      </c>
      <c r="H134" s="13" t="s">
        <v>9</v>
      </c>
      <c r="J134" s="1">
        <v>1700</v>
      </c>
      <c r="K134" s="1">
        <f>J134/A135</f>
        <v>22.666666666666668</v>
      </c>
    </row>
    <row r="135" spans="1:12" s="1" customFormat="1" ht="38.450000000000003" customHeight="1">
      <c r="A135" s="23">
        <v>75</v>
      </c>
      <c r="B135" s="23" t="s">
        <v>22</v>
      </c>
      <c r="C135" s="131" t="s">
        <v>90</v>
      </c>
      <c r="D135" s="131"/>
      <c r="E135" s="131"/>
      <c r="F135" s="131"/>
      <c r="G135" s="24">
        <v>60</v>
      </c>
      <c r="H135" s="25">
        <f>A135*G135</f>
        <v>4500</v>
      </c>
      <c r="J135"/>
      <c r="L135"/>
    </row>
    <row r="136" spans="1:12" s="1" customFormat="1" ht="42.95" customHeight="1">
      <c r="A136" s="15">
        <v>1</v>
      </c>
      <c r="B136" s="15" t="s">
        <v>40</v>
      </c>
      <c r="C136" s="132" t="s">
        <v>41</v>
      </c>
      <c r="D136" s="133"/>
      <c r="E136" s="133"/>
      <c r="F136" s="133"/>
      <c r="G136" s="24">
        <v>9000</v>
      </c>
      <c r="H136" s="25">
        <f>A136*G136</f>
        <v>9000</v>
      </c>
      <c r="J136"/>
      <c r="L136"/>
    </row>
    <row r="137" spans="1:12" s="48" customFormat="1" ht="15.75">
      <c r="A137" s="71"/>
      <c r="B137" s="71" t="s">
        <v>17</v>
      </c>
      <c r="C137" s="107" t="s">
        <v>94</v>
      </c>
      <c r="D137" s="107"/>
      <c r="E137" s="107"/>
      <c r="F137" s="107"/>
      <c r="G137" s="27" t="s">
        <v>43</v>
      </c>
      <c r="H137" s="28">
        <f>H135+H136</f>
        <v>13500</v>
      </c>
    </row>
    <row r="138" spans="1:12" s="48" customFormat="1">
      <c r="A138" s="100"/>
      <c r="B138" s="101"/>
      <c r="C138" s="101"/>
      <c r="D138" s="101"/>
      <c r="E138" s="101"/>
      <c r="F138" s="101"/>
      <c r="G138" s="101"/>
      <c r="H138" s="102"/>
    </row>
    <row r="139" spans="1:12" s="48" customFormat="1" ht="21.75" customHeight="1">
      <c r="A139" s="60"/>
      <c r="B139" s="71"/>
      <c r="C139" s="107" t="s">
        <v>95</v>
      </c>
      <c r="D139" s="107"/>
      <c r="E139" s="107"/>
      <c r="F139" s="107"/>
      <c r="G139" s="71" t="s">
        <v>26</v>
      </c>
      <c r="H139" s="61">
        <f>H137+H131+H124+H117</f>
        <v>93600</v>
      </c>
      <c r="K139" s="62"/>
    </row>
    <row r="140" spans="1:12" s="48" customFormat="1">
      <c r="A140" s="100"/>
      <c r="B140" s="101"/>
      <c r="C140" s="101"/>
      <c r="D140" s="101"/>
      <c r="E140" s="101"/>
      <c r="F140" s="101"/>
      <c r="G140" s="101"/>
      <c r="H140" s="102"/>
    </row>
    <row r="141" spans="1:12" s="48" customFormat="1" ht="15" customHeight="1">
      <c r="A141" s="111" t="s">
        <v>44</v>
      </c>
      <c r="B141" s="111"/>
      <c r="C141" s="111"/>
      <c r="D141" s="111"/>
      <c r="E141" s="111"/>
      <c r="F141" s="111"/>
      <c r="G141" s="111"/>
      <c r="H141" s="111"/>
    </row>
    <row r="142" spans="1:12" s="48" customFormat="1" ht="388.5" customHeight="1">
      <c r="A142" s="112"/>
      <c r="B142" s="113"/>
      <c r="C142" s="113"/>
      <c r="D142" s="113"/>
      <c r="E142" s="113"/>
      <c r="F142" s="113"/>
      <c r="G142" s="113"/>
      <c r="H142" s="114"/>
      <c r="J142" s="63"/>
    </row>
    <row r="143" spans="1:12" s="48" customFormat="1" ht="41.25" customHeight="1">
      <c r="A143" s="115"/>
      <c r="B143" s="116"/>
      <c r="C143" s="116"/>
      <c r="D143" s="116"/>
      <c r="E143" s="116"/>
      <c r="F143" s="116"/>
      <c r="G143" s="116"/>
      <c r="H143" s="117"/>
    </row>
    <row r="144" spans="1:12" ht="28.15" customHeight="1">
      <c r="A144" s="118" t="s">
        <v>45</v>
      </c>
      <c r="B144" s="119"/>
      <c r="C144" s="119"/>
      <c r="D144" s="119"/>
      <c r="E144" s="119"/>
      <c r="F144" s="120"/>
      <c r="G144" s="29" t="s">
        <v>43</v>
      </c>
      <c r="H144" s="30">
        <f>H110+H139</f>
        <v>913796.55</v>
      </c>
      <c r="J144" s="41"/>
    </row>
    <row r="145" spans="1:15" ht="28.15" hidden="1" customHeight="1">
      <c r="A145" s="121"/>
      <c r="B145" s="122"/>
      <c r="C145" s="122"/>
      <c r="D145" s="122"/>
      <c r="E145" s="122"/>
      <c r="F145" s="123"/>
      <c r="G145" s="29" t="s">
        <v>46</v>
      </c>
      <c r="H145" s="30">
        <v>0</v>
      </c>
      <c r="J145" s="42"/>
    </row>
    <row r="146" spans="1:15" ht="23.25" customHeight="1">
      <c r="A146" s="124"/>
      <c r="B146" s="125"/>
      <c r="C146" s="125"/>
      <c r="D146" s="125"/>
      <c r="E146" s="125"/>
      <c r="F146" s="126"/>
      <c r="G146" s="31" t="s">
        <v>47</v>
      </c>
      <c r="H146" s="32">
        <f>H144-H145</f>
        <v>913796.55</v>
      </c>
      <c r="J146" s="42"/>
    </row>
    <row r="147" spans="1:15" ht="21.95" customHeight="1">
      <c r="A147" s="74" t="s">
        <v>48</v>
      </c>
      <c r="B147" s="74"/>
      <c r="C147" s="127" t="s">
        <v>175</v>
      </c>
      <c r="D147" s="127"/>
      <c r="E147" s="127"/>
      <c r="F147" s="127"/>
      <c r="G147" s="33" t="s">
        <v>49</v>
      </c>
      <c r="H147" s="34">
        <f>9000*4</f>
        <v>36000</v>
      </c>
      <c r="I147" s="4">
        <v>9</v>
      </c>
      <c r="J147" s="43"/>
    </row>
    <row r="148" spans="1:15" ht="21.95" customHeight="1">
      <c r="A148" s="74"/>
      <c r="B148" s="74"/>
      <c r="C148" s="127"/>
      <c r="D148" s="127"/>
      <c r="E148" s="127"/>
      <c r="F148" s="127"/>
      <c r="G148" s="31" t="s">
        <v>50</v>
      </c>
      <c r="H148" s="30">
        <f>H146+H147</f>
        <v>949796.55</v>
      </c>
      <c r="J148" s="42"/>
    </row>
    <row r="149" spans="1:15" ht="21.95" customHeight="1">
      <c r="A149" s="74"/>
      <c r="B149" s="74"/>
      <c r="C149" s="127"/>
      <c r="D149" s="127"/>
      <c r="E149" s="127"/>
      <c r="F149" s="127"/>
      <c r="G149" s="33" t="s">
        <v>51</v>
      </c>
      <c r="H149" s="34">
        <f>H148*0.16</f>
        <v>151967.448</v>
      </c>
      <c r="J149" s="43">
        <v>19</v>
      </c>
      <c r="K149" s="4">
        <f>H144*J149</f>
        <v>17362134.449999999</v>
      </c>
      <c r="O149" s="44">
        <f>H150*4</f>
        <v>4407055.9920000006</v>
      </c>
    </row>
    <row r="150" spans="1:15" ht="21.95" customHeight="1">
      <c r="A150" s="74"/>
      <c r="B150" s="74"/>
      <c r="C150" s="127"/>
      <c r="D150" s="127"/>
      <c r="E150" s="127"/>
      <c r="F150" s="127"/>
      <c r="G150" s="35" t="s">
        <v>52</v>
      </c>
      <c r="H150" s="36">
        <f>H148+H149</f>
        <v>1101763.9980000001</v>
      </c>
      <c r="I150" s="44">
        <f>H150/A110</f>
        <v>366.06313051018947</v>
      </c>
      <c r="J150" s="45"/>
    </row>
    <row r="151" spans="1:15">
      <c r="A151" s="88"/>
      <c r="B151" s="88"/>
      <c r="C151" s="88"/>
      <c r="D151" s="88"/>
      <c r="E151" s="88"/>
      <c r="F151" s="88"/>
      <c r="G151" s="88"/>
      <c r="H151" s="88"/>
    </row>
    <row r="152" spans="1:15" ht="31.15" customHeight="1">
      <c r="A152" s="74" t="s">
        <v>53</v>
      </c>
      <c r="B152" s="74"/>
      <c r="C152" s="74"/>
      <c r="D152" s="74"/>
      <c r="E152" s="74"/>
      <c r="F152" s="74"/>
      <c r="G152" s="74"/>
      <c r="H152" s="74"/>
      <c r="J152" s="44"/>
    </row>
    <row r="153" spans="1:15" ht="12" customHeight="1">
      <c r="A153" s="134"/>
      <c r="B153" s="134"/>
      <c r="C153" s="134"/>
      <c r="D153" s="134"/>
      <c r="E153" s="134"/>
      <c r="F153" s="134"/>
      <c r="G153" s="134"/>
      <c r="H153" s="134"/>
      <c r="K153" s="44">
        <f>H146*12</f>
        <v>10965558.600000001</v>
      </c>
    </row>
    <row r="154" spans="1:15" ht="30.75" customHeight="1" thickBot="1">
      <c r="A154" s="135" t="s">
        <v>54</v>
      </c>
      <c r="B154" s="135"/>
      <c r="C154" s="136" t="s">
        <v>55</v>
      </c>
      <c r="D154" s="136"/>
      <c r="E154" s="136"/>
      <c r="F154" s="136"/>
      <c r="G154" s="137" t="s">
        <v>56</v>
      </c>
      <c r="H154" s="137"/>
    </row>
    <row r="155" spans="1:15" ht="19.899999999999999" customHeight="1" thickBot="1">
      <c r="A155" s="138" t="s">
        <v>57</v>
      </c>
      <c r="B155" s="138"/>
      <c r="C155" s="136" t="s">
        <v>58</v>
      </c>
      <c r="D155" s="136"/>
      <c r="E155" s="136"/>
      <c r="F155" s="136"/>
      <c r="G155" s="139"/>
      <c r="H155" s="140"/>
      <c r="K155" s="64">
        <f>H150*3</f>
        <v>3305291.9940000004</v>
      </c>
    </row>
    <row r="156" spans="1:15" ht="27.6" customHeight="1">
      <c r="A156" s="142" t="s">
        <v>59</v>
      </c>
      <c r="B156" s="143"/>
      <c r="C156" s="37" t="s">
        <v>60</v>
      </c>
      <c r="D156" s="148">
        <f>H150*0.6</f>
        <v>661058.39880000008</v>
      </c>
      <c r="E156" s="148"/>
      <c r="F156" s="148"/>
      <c r="G156" s="149"/>
      <c r="H156" s="150"/>
    </row>
    <row r="157" spans="1:15" ht="39" customHeight="1">
      <c r="A157" s="144"/>
      <c r="B157" s="145"/>
      <c r="C157" s="37" t="s">
        <v>98</v>
      </c>
      <c r="D157" s="141">
        <f>H150*0.3</f>
        <v>330529.19940000004</v>
      </c>
      <c r="E157" s="141"/>
      <c r="F157" s="141"/>
      <c r="G157" s="151"/>
      <c r="H157" s="152"/>
      <c r="J157" s="44">
        <f>H150-'[1]CTZ 8T (altura 270.7)'!H66</f>
        <v>863462.64261280023</v>
      </c>
    </row>
    <row r="158" spans="1:15" ht="39" customHeight="1">
      <c r="A158" s="144"/>
      <c r="B158" s="145"/>
      <c r="C158" s="37" t="s">
        <v>99</v>
      </c>
      <c r="D158" s="141">
        <f>H150*0.1</f>
        <v>110176.39980000001</v>
      </c>
      <c r="E158" s="141"/>
      <c r="F158" s="141"/>
      <c r="G158" s="151"/>
      <c r="H158" s="152"/>
      <c r="J158" s="44"/>
    </row>
    <row r="159" spans="1:15" ht="31.5" customHeight="1">
      <c r="A159" s="144"/>
      <c r="B159" s="145"/>
      <c r="C159" s="155" t="s">
        <v>61</v>
      </c>
      <c r="D159" s="157">
        <f>D156+D157+D158</f>
        <v>1101763.9980000001</v>
      </c>
      <c r="E159" s="158"/>
      <c r="F159" s="159"/>
      <c r="G159" s="153"/>
      <c r="H159" s="154"/>
      <c r="J159" s="46"/>
      <c r="M159" s="46">
        <f>D156*8</f>
        <v>5288467.1904000007</v>
      </c>
    </row>
    <row r="160" spans="1:15" ht="5.45" hidden="1" customHeight="1">
      <c r="A160" s="146"/>
      <c r="B160" s="147"/>
      <c r="C160" s="156"/>
      <c r="D160" s="160"/>
      <c r="E160" s="161"/>
      <c r="F160" s="162"/>
      <c r="G160" s="163" t="s">
        <v>62</v>
      </c>
      <c r="H160" s="164"/>
    </row>
    <row r="161" spans="1:12" ht="24.95" customHeight="1">
      <c r="A161" s="172" t="s">
        <v>63</v>
      </c>
      <c r="B161" s="173"/>
      <c r="C161" s="38" t="s">
        <v>100</v>
      </c>
      <c r="D161" s="167"/>
      <c r="E161" s="168"/>
      <c r="F161" s="169"/>
      <c r="G161" s="165" t="s">
        <v>155</v>
      </c>
      <c r="H161" s="166"/>
      <c r="J161" s="38">
        <v>75</v>
      </c>
    </row>
    <row r="162" spans="1:12" ht="24.95" customHeight="1">
      <c r="A162" s="174"/>
      <c r="B162" s="175"/>
      <c r="C162" s="38" t="s">
        <v>101</v>
      </c>
      <c r="D162" s="167"/>
      <c r="E162" s="168"/>
      <c r="F162" s="169"/>
      <c r="G162" s="165" t="s">
        <v>103</v>
      </c>
      <c r="H162" s="166"/>
      <c r="J162" s="38">
        <v>120</v>
      </c>
      <c r="L162" s="46"/>
    </row>
    <row r="163" spans="1:12" ht="24.95" customHeight="1">
      <c r="A163" s="174"/>
      <c r="B163" s="175"/>
      <c r="C163" s="38" t="s">
        <v>102</v>
      </c>
      <c r="D163" s="167"/>
      <c r="E163" s="168"/>
      <c r="F163" s="169"/>
      <c r="G163" s="165" t="s">
        <v>156</v>
      </c>
      <c r="H163" s="166"/>
      <c r="J163" s="38">
        <f t="shared" ref="J163" si="29">J162+15</f>
        <v>135</v>
      </c>
      <c r="L163" s="46"/>
    </row>
    <row r="164" spans="1:12" ht="24.95" customHeight="1">
      <c r="A164" s="174"/>
      <c r="B164" s="175"/>
      <c r="C164" s="38" t="s">
        <v>70</v>
      </c>
      <c r="D164" s="167"/>
      <c r="E164" s="168"/>
      <c r="F164" s="169"/>
      <c r="G164" s="165" t="s">
        <v>157</v>
      </c>
      <c r="H164" s="166"/>
      <c r="J164" s="38">
        <f>J163+15</f>
        <v>150</v>
      </c>
    </row>
    <row r="165" spans="1:12" ht="24.95" hidden="1" customHeight="1">
      <c r="A165" s="174"/>
      <c r="B165" s="175"/>
      <c r="C165" s="38" t="s">
        <v>70</v>
      </c>
      <c r="D165" s="167"/>
      <c r="E165" s="168"/>
      <c r="F165" s="169"/>
      <c r="G165" s="165" t="s">
        <v>71</v>
      </c>
      <c r="H165" s="166"/>
      <c r="J165" s="47"/>
    </row>
    <row r="166" spans="1:12" ht="24.95" hidden="1" customHeight="1">
      <c r="A166" s="174"/>
      <c r="B166" s="175"/>
      <c r="C166" s="38" t="s">
        <v>72</v>
      </c>
      <c r="D166" s="167"/>
      <c r="E166" s="168"/>
      <c r="F166" s="169"/>
      <c r="G166" s="165" t="s">
        <v>71</v>
      </c>
      <c r="H166" s="166"/>
      <c r="J166" s="47"/>
    </row>
    <row r="167" spans="1:12" ht="24.95" hidden="1" customHeight="1">
      <c r="A167" s="176"/>
      <c r="B167" s="177"/>
      <c r="C167" s="38" t="s">
        <v>73</v>
      </c>
      <c r="D167" s="167"/>
      <c r="E167" s="168"/>
      <c r="F167" s="169"/>
      <c r="G167" s="165" t="s">
        <v>74</v>
      </c>
      <c r="H167" s="166"/>
      <c r="J167" s="47"/>
    </row>
    <row r="168" spans="1:12" ht="19.149999999999999" customHeight="1">
      <c r="A168" s="135" t="s">
        <v>75</v>
      </c>
      <c r="B168" s="135"/>
      <c r="C168" s="170" t="s">
        <v>76</v>
      </c>
      <c r="D168" s="170"/>
      <c r="E168" s="170"/>
      <c r="F168" s="170"/>
      <c r="G168" s="91"/>
      <c r="H168" s="171"/>
      <c r="J168" s="46">
        <f>SUM(D162:F164)</f>
        <v>0</v>
      </c>
    </row>
    <row r="169" spans="1:12" ht="10.15" customHeight="1">
      <c r="A169" s="88"/>
      <c r="B169" s="88"/>
      <c r="C169" s="88"/>
      <c r="D169" s="88"/>
      <c r="E169" s="88"/>
      <c r="F169" s="88"/>
      <c r="G169" s="189"/>
      <c r="H169" s="189"/>
      <c r="J169" s="46"/>
      <c r="K169" s="46"/>
    </row>
    <row r="170" spans="1:12" ht="117" customHeight="1">
      <c r="A170" s="137" t="s">
        <v>77</v>
      </c>
      <c r="B170" s="137"/>
      <c r="C170" s="190" t="s">
        <v>171</v>
      </c>
      <c r="D170" s="190"/>
      <c r="E170" s="190"/>
      <c r="F170" s="190"/>
      <c r="G170" s="190"/>
      <c r="H170" s="39"/>
      <c r="J170" s="46"/>
    </row>
    <row r="171" spans="1:12" ht="27" customHeight="1">
      <c r="A171" s="137"/>
      <c r="B171" s="137"/>
      <c r="C171" s="190" t="s">
        <v>78</v>
      </c>
      <c r="D171" s="190"/>
      <c r="E171" s="190"/>
      <c r="F171" s="190"/>
      <c r="G171" s="190"/>
      <c r="H171" s="39"/>
    </row>
    <row r="172" spans="1:12" ht="67.150000000000006" customHeight="1">
      <c r="A172" s="137"/>
      <c r="B172" s="137"/>
      <c r="C172" s="190" t="s">
        <v>96</v>
      </c>
      <c r="D172" s="190"/>
      <c r="E172" s="190"/>
      <c r="F172" s="190"/>
      <c r="G172" s="190"/>
      <c r="H172" s="39"/>
    </row>
    <row r="173" spans="1:12" ht="54" customHeight="1">
      <c r="A173" s="137"/>
      <c r="B173" s="137"/>
      <c r="C173" s="190" t="s">
        <v>80</v>
      </c>
      <c r="D173" s="190"/>
      <c r="E173" s="190"/>
      <c r="F173" s="190"/>
      <c r="G173" s="190"/>
      <c r="H173" s="39"/>
    </row>
    <row r="174" spans="1:12" ht="150.75" hidden="1" customHeight="1">
      <c r="A174" s="137"/>
      <c r="B174" s="137"/>
      <c r="C174" s="181" t="s">
        <v>81</v>
      </c>
      <c r="D174" s="182"/>
      <c r="E174" s="182"/>
      <c r="F174" s="182"/>
      <c r="G174" s="183"/>
      <c r="H174" s="39"/>
    </row>
    <row r="175" spans="1:12" ht="30" customHeight="1">
      <c r="A175" s="137"/>
      <c r="B175" s="137"/>
      <c r="C175" s="190" t="s">
        <v>82</v>
      </c>
      <c r="D175" s="190"/>
      <c r="E175" s="190"/>
      <c r="F175" s="190"/>
      <c r="G175" s="190"/>
      <c r="H175" s="39"/>
    </row>
    <row r="176" spans="1:12" ht="51" customHeight="1">
      <c r="A176" s="137"/>
      <c r="B176" s="137"/>
      <c r="C176" s="190" t="s">
        <v>83</v>
      </c>
      <c r="D176" s="190"/>
      <c r="E176" s="190"/>
      <c r="F176" s="190"/>
      <c r="G176" s="190"/>
      <c r="H176" s="39"/>
    </row>
    <row r="177" spans="1:8" ht="64.5" hidden="1" customHeight="1">
      <c r="A177" s="137"/>
      <c r="B177" s="137"/>
      <c r="C177" s="181" t="s">
        <v>84</v>
      </c>
      <c r="D177" s="182"/>
      <c r="E177" s="182"/>
      <c r="F177" s="182"/>
      <c r="G177" s="183"/>
      <c r="H177" s="39"/>
    </row>
    <row r="178" spans="1:8" ht="103.5" customHeight="1">
      <c r="A178" s="137"/>
      <c r="B178" s="137"/>
      <c r="C178" s="184" t="s">
        <v>85</v>
      </c>
      <c r="D178" s="184"/>
      <c r="E178" s="184"/>
      <c r="F178" s="184"/>
      <c r="G178" s="184"/>
      <c r="H178" s="39"/>
    </row>
    <row r="179" spans="1:8" ht="24.95" customHeight="1">
      <c r="A179" s="137"/>
      <c r="B179" s="137"/>
      <c r="C179" s="184" t="s">
        <v>86</v>
      </c>
      <c r="D179" s="184"/>
      <c r="E179" s="184"/>
      <c r="F179" s="184"/>
      <c r="G179" s="184"/>
      <c r="H179" s="39"/>
    </row>
    <row r="180" spans="1:8" ht="7.9" customHeight="1">
      <c r="A180" s="185"/>
      <c r="B180" s="185"/>
      <c r="C180" s="185"/>
      <c r="D180" s="185"/>
      <c r="E180" s="185"/>
      <c r="F180" s="185"/>
      <c r="G180" s="185"/>
      <c r="H180" s="185"/>
    </row>
    <row r="181" spans="1:8" ht="30" customHeight="1">
      <c r="A181" s="185"/>
      <c r="B181" s="185"/>
      <c r="C181" s="185"/>
      <c r="D181" s="185"/>
      <c r="E181" s="185"/>
      <c r="F181" s="185"/>
      <c r="G181" s="185"/>
      <c r="H181" s="185"/>
    </row>
    <row r="182" spans="1:8" ht="30" customHeight="1">
      <c r="A182" s="185"/>
      <c r="B182" s="185"/>
      <c r="C182" s="185"/>
      <c r="D182" s="185"/>
      <c r="E182" s="185"/>
      <c r="F182" s="185"/>
      <c r="G182" s="185"/>
      <c r="H182" s="185"/>
    </row>
    <row r="183" spans="1:8" ht="24" customHeight="1">
      <c r="A183" s="185"/>
      <c r="B183" s="185"/>
      <c r="C183" s="185"/>
      <c r="D183" s="185"/>
      <c r="E183" s="185"/>
      <c r="F183" s="185"/>
      <c r="G183" s="185"/>
      <c r="H183" s="185"/>
    </row>
    <row r="184" spans="1:8" ht="43.9" customHeight="1">
      <c r="A184" s="185"/>
      <c r="B184" s="185"/>
      <c r="C184" s="185"/>
      <c r="D184" s="185"/>
      <c r="E184" s="185"/>
      <c r="F184" s="185"/>
      <c r="G184" s="185"/>
      <c r="H184" s="185"/>
    </row>
    <row r="185" spans="1:8" ht="18">
      <c r="A185" s="186" t="s">
        <v>87</v>
      </c>
      <c r="B185" s="187"/>
      <c r="C185" s="187"/>
      <c r="D185" s="187"/>
      <c r="E185" s="187"/>
      <c r="F185" s="187"/>
      <c r="G185" s="187"/>
      <c r="H185" s="188"/>
    </row>
    <row r="186" spans="1:8">
      <c r="A186" s="178" t="s">
        <v>88</v>
      </c>
      <c r="B186" s="179"/>
      <c r="C186" s="179"/>
      <c r="D186" s="179"/>
      <c r="E186" s="179"/>
      <c r="F186" s="179"/>
      <c r="G186" s="179"/>
      <c r="H186" s="180"/>
    </row>
  </sheetData>
  <mergeCells count="203">
    <mergeCell ref="A181:H184"/>
    <mergeCell ref="A185:H185"/>
    <mergeCell ref="A186:H186"/>
    <mergeCell ref="C175:G175"/>
    <mergeCell ref="C176:G176"/>
    <mergeCell ref="C177:G177"/>
    <mergeCell ref="C178:G178"/>
    <mergeCell ref="C179:G179"/>
    <mergeCell ref="A180:H180"/>
    <mergeCell ref="A168:B168"/>
    <mergeCell ref="C168:F168"/>
    <mergeCell ref="G168:H168"/>
    <mergeCell ref="A169:H169"/>
    <mergeCell ref="A170:B179"/>
    <mergeCell ref="C170:G170"/>
    <mergeCell ref="C171:G171"/>
    <mergeCell ref="C172:G172"/>
    <mergeCell ref="C173:G173"/>
    <mergeCell ref="C174:G174"/>
    <mergeCell ref="D165:F165"/>
    <mergeCell ref="G165:H165"/>
    <mergeCell ref="D166:F166"/>
    <mergeCell ref="G166:H166"/>
    <mergeCell ref="D167:F167"/>
    <mergeCell ref="G167:H167"/>
    <mergeCell ref="G160:H160"/>
    <mergeCell ref="A161:B167"/>
    <mergeCell ref="D161:F161"/>
    <mergeCell ref="G161:H161"/>
    <mergeCell ref="D162:F162"/>
    <mergeCell ref="G162:H162"/>
    <mergeCell ref="D163:F163"/>
    <mergeCell ref="G163:H163"/>
    <mergeCell ref="D164:F164"/>
    <mergeCell ref="G164:H164"/>
    <mergeCell ref="A155:B155"/>
    <mergeCell ref="C155:F155"/>
    <mergeCell ref="G155:H155"/>
    <mergeCell ref="A156:B160"/>
    <mergeCell ref="D156:F156"/>
    <mergeCell ref="G156:H159"/>
    <mergeCell ref="D157:F157"/>
    <mergeCell ref="D158:F158"/>
    <mergeCell ref="C159:C160"/>
    <mergeCell ref="D159:F160"/>
    <mergeCell ref="A147:B150"/>
    <mergeCell ref="C147:F150"/>
    <mergeCell ref="A151:H151"/>
    <mergeCell ref="A152:H152"/>
    <mergeCell ref="A153:H153"/>
    <mergeCell ref="A154:B154"/>
    <mergeCell ref="C154:F154"/>
    <mergeCell ref="G154:H154"/>
    <mergeCell ref="A138:H138"/>
    <mergeCell ref="C139:F139"/>
    <mergeCell ref="A140:H140"/>
    <mergeCell ref="A141:H141"/>
    <mergeCell ref="A142:H143"/>
    <mergeCell ref="A144:F146"/>
    <mergeCell ref="A132:H132"/>
    <mergeCell ref="A133:H133"/>
    <mergeCell ref="C134:F134"/>
    <mergeCell ref="C135:F135"/>
    <mergeCell ref="C136:F136"/>
    <mergeCell ref="C137:F137"/>
    <mergeCell ref="A126:H126"/>
    <mergeCell ref="C127:F127"/>
    <mergeCell ref="C128:F128"/>
    <mergeCell ref="C129:F129"/>
    <mergeCell ref="C130:F130"/>
    <mergeCell ref="C131:F131"/>
    <mergeCell ref="C120:F120"/>
    <mergeCell ref="C121:F121"/>
    <mergeCell ref="C122:F122"/>
    <mergeCell ref="C123:F123"/>
    <mergeCell ref="C124:F124"/>
    <mergeCell ref="A125:H125"/>
    <mergeCell ref="C114:F114"/>
    <mergeCell ref="C115:F115"/>
    <mergeCell ref="C116:F116"/>
    <mergeCell ref="C117:F117"/>
    <mergeCell ref="A118:H118"/>
    <mergeCell ref="A119:H119"/>
    <mergeCell ref="C108:F108"/>
    <mergeCell ref="A109:H109"/>
    <mergeCell ref="C110:F110"/>
    <mergeCell ref="A111:H111"/>
    <mergeCell ref="A112:H112"/>
    <mergeCell ref="C113:F113"/>
    <mergeCell ref="A102:H102"/>
    <mergeCell ref="C103:F103"/>
    <mergeCell ref="A104:H104"/>
    <mergeCell ref="A105:H105"/>
    <mergeCell ref="C106:F106"/>
    <mergeCell ref="C107:F107"/>
    <mergeCell ref="C96:F96"/>
    <mergeCell ref="A97:H97"/>
    <mergeCell ref="A98:H98"/>
    <mergeCell ref="C99:F99"/>
    <mergeCell ref="C100:F100"/>
    <mergeCell ref="C101:F101"/>
    <mergeCell ref="A90:H90"/>
    <mergeCell ref="A91:H91"/>
    <mergeCell ref="C92:F92"/>
    <mergeCell ref="C93:F93"/>
    <mergeCell ref="C94:F94"/>
    <mergeCell ref="C95:F95"/>
    <mergeCell ref="C84:F84"/>
    <mergeCell ref="C85:F85"/>
    <mergeCell ref="C86:F86"/>
    <mergeCell ref="C87:F87"/>
    <mergeCell ref="A88:F88"/>
    <mergeCell ref="C89:F89"/>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F0A7FCA6-B15A-4031-87B1-91B269D47892}"/>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10" max="7" man="1"/>
    <brk id="139" max="7" man="1"/>
    <brk id="143" max="7" man="1"/>
    <brk id="168" max="7" man="1"/>
    <brk id="186" max="16383" man="1"/>
  </row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4D40-A6AD-4EAC-A8F5-9020478A4F1E}">
  <dimension ref="A1:R186"/>
  <sheetViews>
    <sheetView view="pageBreakPreview" topLeftCell="A143" zoomScale="85" zoomScaleNormal="80" zoomScaleSheetLayoutView="85" workbookViewId="0">
      <selection activeCell="C172" sqref="C172:G172"/>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177</v>
      </c>
    </row>
    <row r="3" spans="1:18" ht="25.15" customHeight="1">
      <c r="A3" s="93" t="s">
        <v>3</v>
      </c>
      <c r="B3" s="93"/>
      <c r="C3" s="94" t="s">
        <v>4</v>
      </c>
      <c r="D3" s="94"/>
      <c r="E3" s="94"/>
      <c r="F3" s="94"/>
      <c r="G3" s="94"/>
      <c r="H3" s="94"/>
    </row>
    <row r="4" spans="1:18" ht="93.75" customHeight="1">
      <c r="A4" s="93" t="s">
        <v>5</v>
      </c>
      <c r="B4" s="93"/>
      <c r="C4" s="97" t="s">
        <v>178</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220</v>
      </c>
    </row>
    <row r="11" spans="1:18" s="2" customFormat="1" ht="21.95" customHeight="1">
      <c r="A11" s="14">
        <f>N11</f>
        <v>466.30500000000001</v>
      </c>
      <c r="B11" s="15" t="s">
        <v>18</v>
      </c>
      <c r="C11" s="76" t="s">
        <v>19</v>
      </c>
      <c r="D11" s="76"/>
      <c r="E11" s="76"/>
      <c r="F11" s="76"/>
      <c r="G11" s="16">
        <f>R10</f>
        <v>220</v>
      </c>
      <c r="H11" s="17">
        <f>G11*A11</f>
        <v>102587.1</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220</v>
      </c>
      <c r="H12" s="17">
        <f>A12*G12</f>
        <v>30321.059999999994</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220</v>
      </c>
      <c r="H13" s="17">
        <f>A13*G13</f>
        <v>14601.510000000002</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150029.67000000001</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220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220</v>
      </c>
      <c r="H22" s="17">
        <f t="shared" si="1"/>
        <v>7539.8399999999992</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7539.8399999999992</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220</v>
      </c>
      <c r="H27" s="17">
        <f>G27*A27</f>
        <v>6283.42</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6283.42</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220</v>
      </c>
      <c r="H32" s="17">
        <f>G32*A32</f>
        <v>11088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11088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174940.93000000002</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220</v>
      </c>
    </row>
    <row r="39" spans="1:18" s="2" customFormat="1" ht="21.95" customHeight="1">
      <c r="A39" s="14">
        <f>N39</f>
        <v>466.30500000000001</v>
      </c>
      <c r="B39" s="15" t="s">
        <v>18</v>
      </c>
      <c r="C39" s="76" t="s">
        <v>19</v>
      </c>
      <c r="D39" s="76"/>
      <c r="E39" s="76"/>
      <c r="F39" s="76"/>
      <c r="G39" s="16">
        <f>R38</f>
        <v>220</v>
      </c>
      <c r="H39" s="17">
        <f>G39*A39</f>
        <v>102587.1</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220</v>
      </c>
      <c r="H40" s="17">
        <f>A40*G40</f>
        <v>30321.059999999994</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220</v>
      </c>
      <c r="H41" s="17">
        <f>A41*G41</f>
        <v>14601.510000000002</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150029.67000000001</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220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220</v>
      </c>
      <c r="H50" s="17">
        <f t="shared" si="9"/>
        <v>7539.8399999999992</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7539.8399999999992</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220</v>
      </c>
      <c r="H55" s="17">
        <f>G55*A55</f>
        <v>6283.42</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6283.42</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163852.93000000002</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220</v>
      </c>
    </row>
    <row r="62" spans="1:18" s="2" customFormat="1" ht="21.95" customHeight="1">
      <c r="A62" s="14">
        <f>N62</f>
        <v>466.30500000000001</v>
      </c>
      <c r="B62" s="15" t="s">
        <v>18</v>
      </c>
      <c r="C62" s="76" t="s">
        <v>19</v>
      </c>
      <c r="D62" s="76"/>
      <c r="E62" s="76"/>
      <c r="F62" s="76"/>
      <c r="G62" s="16">
        <f>R61</f>
        <v>220</v>
      </c>
      <c r="H62" s="17">
        <f>G62*A62</f>
        <v>102587.1</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220</v>
      </c>
      <c r="H63" s="17">
        <f>A63*G63</f>
        <v>30321.059999999994</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220</v>
      </c>
      <c r="H64" s="17">
        <f>A64*G64</f>
        <v>14601.510000000002</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150029.67000000001</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220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220</v>
      </c>
      <c r="H73" s="17">
        <f t="shared" si="15"/>
        <v>7539.8399999999992</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7539.8399999999992</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220</v>
      </c>
      <c r="H78" s="17">
        <f>G78*A78</f>
        <v>6283.42</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6283.42</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163852.93000000002</v>
      </c>
      <c r="K81" s="62"/>
    </row>
    <row r="82" spans="1:18" s="48" customFormat="1">
      <c r="A82" s="100"/>
      <c r="B82" s="101"/>
      <c r="C82" s="101"/>
      <c r="D82" s="101"/>
      <c r="E82" s="101"/>
      <c r="F82" s="101"/>
      <c r="G82" s="101"/>
      <c r="H82" s="102"/>
    </row>
    <row r="83" spans="1:18" s="48" customFormat="1" ht="18">
      <c r="A83" s="74" t="s">
        <v>131</v>
      </c>
      <c r="B83" s="74"/>
      <c r="C83" s="74"/>
      <c r="D83" s="74"/>
      <c r="E83" s="74"/>
      <c r="F83" s="74"/>
      <c r="G83" s="74"/>
      <c r="H83" s="74"/>
      <c r="R83" s="48" t="s">
        <v>9</v>
      </c>
    </row>
    <row r="84" spans="1:18" s="52" customFormat="1" ht="15">
      <c r="A84" s="73" t="s">
        <v>10</v>
      </c>
      <c r="B84" s="50" t="s">
        <v>11</v>
      </c>
      <c r="C84" s="75" t="s">
        <v>12</v>
      </c>
      <c r="D84" s="75"/>
      <c r="E84" s="75"/>
      <c r="F84" s="75"/>
      <c r="G84" s="51" t="s">
        <v>13</v>
      </c>
      <c r="H84" s="51" t="s">
        <v>9</v>
      </c>
      <c r="J84" s="52" t="s">
        <v>14</v>
      </c>
      <c r="K84" s="52" t="s">
        <v>15</v>
      </c>
      <c r="L84" s="52" t="s">
        <v>16</v>
      </c>
      <c r="N84" s="52" t="s">
        <v>17</v>
      </c>
      <c r="R84" s="52">
        <v>220</v>
      </c>
    </row>
    <row r="85" spans="1:18" s="2" customFormat="1" ht="21.95" customHeight="1">
      <c r="A85" s="14">
        <f>N85</f>
        <v>466.30500000000001</v>
      </c>
      <c r="B85" s="15" t="s">
        <v>18</v>
      </c>
      <c r="C85" s="76" t="s">
        <v>19</v>
      </c>
      <c r="D85" s="76"/>
      <c r="E85" s="76"/>
      <c r="F85" s="76"/>
      <c r="G85" s="16">
        <f>R84</f>
        <v>220</v>
      </c>
      <c r="H85" s="17">
        <f>G85*A85</f>
        <v>102587.1</v>
      </c>
      <c r="J85" s="2">
        <v>444.1</v>
      </c>
      <c r="K85" s="40">
        <v>0.05</v>
      </c>
      <c r="L85" s="2">
        <f>J85*K85</f>
        <v>22.205000000000002</v>
      </c>
      <c r="N85" s="2">
        <f>J85+L85</f>
        <v>466.30500000000001</v>
      </c>
      <c r="O85" s="2">
        <v>2</v>
      </c>
      <c r="P85" s="2">
        <f>J85/O85</f>
        <v>222.05</v>
      </c>
    </row>
    <row r="86" spans="1:18" s="2" customFormat="1" ht="21.95" customHeight="1">
      <c r="A86" s="14">
        <f>N86</f>
        <v>137.82299999999998</v>
      </c>
      <c r="B86" s="15" t="s">
        <v>18</v>
      </c>
      <c r="C86" s="76" t="s">
        <v>20</v>
      </c>
      <c r="D86" s="76"/>
      <c r="E86" s="76"/>
      <c r="F86" s="76"/>
      <c r="G86" s="16">
        <f>R84</f>
        <v>220</v>
      </c>
      <c r="H86" s="17">
        <f>A86*G86</f>
        <v>30321.059999999994</v>
      </c>
      <c r="J86" s="2">
        <v>131.26</v>
      </c>
      <c r="K86" s="40">
        <v>0.05</v>
      </c>
      <c r="L86" s="2">
        <f>J86*K86</f>
        <v>6.5629999999999997</v>
      </c>
      <c r="N86" s="2">
        <f>J86+L86</f>
        <v>137.82299999999998</v>
      </c>
      <c r="O86" s="2">
        <v>2</v>
      </c>
      <c r="P86" s="2">
        <f t="shared" ref="P86:P87" si="20">J86/O86</f>
        <v>65.63</v>
      </c>
    </row>
    <row r="87" spans="1:18" s="2" customFormat="1" ht="21.95" customHeight="1">
      <c r="A87" s="14">
        <f>N87</f>
        <v>66.370500000000007</v>
      </c>
      <c r="B87" s="15" t="s">
        <v>18</v>
      </c>
      <c r="C87" s="76" t="s">
        <v>21</v>
      </c>
      <c r="D87" s="76"/>
      <c r="E87" s="76"/>
      <c r="F87" s="76"/>
      <c r="G87" s="16">
        <f>G86</f>
        <v>220</v>
      </c>
      <c r="H87" s="17">
        <f>A87*G87</f>
        <v>14601.510000000002</v>
      </c>
      <c r="J87" s="2">
        <v>63.21</v>
      </c>
      <c r="K87" s="40">
        <v>0.05</v>
      </c>
      <c r="L87" s="2">
        <f>J87*K87</f>
        <v>3.1605000000000003</v>
      </c>
      <c r="N87" s="2">
        <f>J87+L87</f>
        <v>66.370500000000007</v>
      </c>
      <c r="O87" s="2">
        <v>2</v>
      </c>
      <c r="P87" s="2">
        <f t="shared" si="20"/>
        <v>31.605</v>
      </c>
    </row>
    <row r="88" spans="1:18" s="2" customFormat="1" ht="45" customHeight="1">
      <c r="A88" s="81" t="s">
        <v>24</v>
      </c>
      <c r="B88" s="82"/>
      <c r="C88" s="82"/>
      <c r="D88" s="82"/>
      <c r="E88" s="82"/>
      <c r="F88" s="82"/>
      <c r="G88" s="18"/>
      <c r="H88" s="18"/>
      <c r="J88" s="2">
        <f>J85+J86+J87</f>
        <v>638.57000000000005</v>
      </c>
      <c r="K88" s="40"/>
      <c r="N88" s="2">
        <f>N85+N86</f>
        <v>604.12799999999993</v>
      </c>
    </row>
    <row r="89" spans="1:18" s="3" customFormat="1" ht="15.75">
      <c r="A89" s="19">
        <f>A85+A86+A87</f>
        <v>670.49849999999992</v>
      </c>
      <c r="B89" s="20" t="s">
        <v>25</v>
      </c>
      <c r="C89" s="83"/>
      <c r="D89" s="83"/>
      <c r="E89" s="83"/>
      <c r="F89" s="83"/>
      <c r="G89" s="20" t="s">
        <v>26</v>
      </c>
      <c r="H89" s="21">
        <f>H85+H86+H87</f>
        <v>147509.67000000001</v>
      </c>
      <c r="K89" s="40"/>
      <c r="L89" s="2"/>
      <c r="N89" s="2"/>
    </row>
    <row r="90" spans="1:18" s="58" customFormat="1" ht="15.75">
      <c r="A90" s="86"/>
      <c r="B90" s="86"/>
      <c r="C90" s="86"/>
      <c r="D90" s="86"/>
      <c r="E90" s="86"/>
      <c r="F90" s="86"/>
      <c r="G90" s="86"/>
      <c r="H90" s="86"/>
      <c r="K90" s="57"/>
      <c r="L90" s="56"/>
      <c r="N90" s="56"/>
    </row>
    <row r="91" spans="1:18" s="48" customFormat="1" ht="29.25" customHeight="1">
      <c r="A91" s="87" t="s">
        <v>132</v>
      </c>
      <c r="B91" s="87"/>
      <c r="C91" s="87"/>
      <c r="D91" s="87"/>
      <c r="E91" s="87"/>
      <c r="F91" s="87"/>
      <c r="G91" s="87"/>
      <c r="H91" s="87"/>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56" customFormat="1" ht="21.6" hidden="1" customHeight="1">
      <c r="A93" s="53">
        <v>0</v>
      </c>
      <c r="B93" s="54" t="s">
        <v>18</v>
      </c>
      <c r="C93" s="77" t="s">
        <v>28</v>
      </c>
      <c r="D93" s="78"/>
      <c r="E93" s="78"/>
      <c r="F93" s="79"/>
      <c r="G93" s="55">
        <f>R84</f>
        <v>220</v>
      </c>
      <c r="H93" s="17">
        <f t="shared" ref="H93:H95" si="21">G93*A93</f>
        <v>0</v>
      </c>
      <c r="I93" s="48"/>
      <c r="J93" s="56">
        <v>12</v>
      </c>
      <c r="K93" s="57">
        <v>0.1</v>
      </c>
      <c r="L93" s="56">
        <f t="shared" ref="L93:L95" si="22">J93*K93</f>
        <v>1.2000000000000002</v>
      </c>
      <c r="N93" s="56">
        <f t="shared" ref="N93:N95" si="23">J93+L93</f>
        <v>13.2</v>
      </c>
    </row>
    <row r="94" spans="1:18" s="56" customFormat="1" ht="21.6" customHeight="1">
      <c r="A94" s="53">
        <f>N94</f>
        <v>34.271999999999998</v>
      </c>
      <c r="B94" s="54" t="s">
        <v>18</v>
      </c>
      <c r="C94" s="80" t="s">
        <v>133</v>
      </c>
      <c r="D94" s="80"/>
      <c r="E94" s="80"/>
      <c r="F94" s="80"/>
      <c r="G94" s="55">
        <f>R84</f>
        <v>220</v>
      </c>
      <c r="H94" s="17">
        <f t="shared" si="21"/>
        <v>7539.8399999999992</v>
      </c>
      <c r="I94" s="48"/>
      <c r="J94" s="2">
        <v>32.64</v>
      </c>
      <c r="K94" s="57">
        <v>0.05</v>
      </c>
      <c r="L94" s="56">
        <f t="shared" si="22"/>
        <v>1.6320000000000001</v>
      </c>
      <c r="N94" s="56">
        <f t="shared" si="23"/>
        <v>34.271999999999998</v>
      </c>
    </row>
    <row r="95" spans="1:18" s="56" customFormat="1" ht="21.6" customHeight="1">
      <c r="A95" s="65">
        <f t="shared" ref="A95" si="24">N95</f>
        <v>11.55</v>
      </c>
      <c r="B95" s="54" t="s">
        <v>18</v>
      </c>
      <c r="C95" s="106" t="s">
        <v>30</v>
      </c>
      <c r="D95" s="106"/>
      <c r="E95" s="106"/>
      <c r="F95" s="106"/>
      <c r="G95" s="66">
        <f>R84</f>
        <v>220</v>
      </c>
      <c r="H95" s="17">
        <f t="shared" si="21"/>
        <v>2541</v>
      </c>
      <c r="I95" s="48"/>
      <c r="J95" s="2">
        <v>10.5</v>
      </c>
      <c r="K95" s="57">
        <v>0.1</v>
      </c>
      <c r="L95" s="56">
        <f t="shared" si="22"/>
        <v>1.05</v>
      </c>
      <c r="N95" s="56">
        <f t="shared" si="23"/>
        <v>11.55</v>
      </c>
    </row>
    <row r="96" spans="1:18" s="58" customFormat="1" ht="15.75">
      <c r="A96" s="19">
        <f>A94+A95</f>
        <v>45.822000000000003</v>
      </c>
      <c r="B96" s="20" t="s">
        <v>25</v>
      </c>
      <c r="C96" s="83"/>
      <c r="D96" s="83"/>
      <c r="E96" s="83"/>
      <c r="F96" s="83"/>
      <c r="G96" s="20" t="s">
        <v>26</v>
      </c>
      <c r="H96" s="22">
        <f>H94+H95</f>
        <v>10080.84</v>
      </c>
      <c r="I96" s="48"/>
      <c r="J96" s="56">
        <f>SUM(J93:J95)</f>
        <v>55.14</v>
      </c>
      <c r="K96" s="57"/>
      <c r="L96" s="56"/>
      <c r="M96" s="56"/>
      <c r="N96" s="56"/>
    </row>
    <row r="97" spans="1:15" s="48" customFormat="1">
      <c r="A97" s="100"/>
      <c r="B97" s="101"/>
      <c r="C97" s="101"/>
      <c r="D97" s="101"/>
      <c r="E97" s="101"/>
      <c r="F97" s="101"/>
      <c r="G97" s="101"/>
      <c r="H97" s="102"/>
    </row>
    <row r="98" spans="1:15" s="48" customFormat="1" ht="18">
      <c r="A98" s="74" t="s">
        <v>136</v>
      </c>
      <c r="B98" s="74"/>
      <c r="C98" s="74"/>
      <c r="D98" s="74"/>
      <c r="E98" s="74"/>
      <c r="F98" s="74"/>
      <c r="G98" s="74"/>
      <c r="H98" s="74"/>
      <c r="J98" s="56"/>
      <c r="K98" s="57"/>
      <c r="L98" s="56"/>
      <c r="N98" s="56"/>
    </row>
    <row r="99" spans="1:15" s="52" customFormat="1" ht="15">
      <c r="A99" s="73" t="s">
        <v>10</v>
      </c>
      <c r="B99" s="50" t="s">
        <v>11</v>
      </c>
      <c r="C99" s="75" t="s">
        <v>12</v>
      </c>
      <c r="D99" s="75"/>
      <c r="E99" s="75"/>
      <c r="F99" s="75"/>
      <c r="G99" s="51" t="s">
        <v>13</v>
      </c>
      <c r="H99" s="51" t="s">
        <v>9</v>
      </c>
      <c r="I99" s="48"/>
      <c r="J99" s="56"/>
      <c r="K99" s="57"/>
      <c r="L99" s="56"/>
      <c r="N99" s="56"/>
    </row>
    <row r="100" spans="1:15" s="2" customFormat="1" ht="30.75" customHeight="1">
      <c r="A100" s="68">
        <f>N100</f>
        <v>43.05</v>
      </c>
      <c r="B100" s="15" t="s">
        <v>18</v>
      </c>
      <c r="C100" s="76" t="s">
        <v>135</v>
      </c>
      <c r="D100" s="76"/>
      <c r="E100" s="76"/>
      <c r="F100" s="76"/>
      <c r="G100" s="16">
        <f>R84</f>
        <v>220</v>
      </c>
      <c r="H100" s="17">
        <f>G100*A100</f>
        <v>9471</v>
      </c>
      <c r="I100" s="1"/>
      <c r="J100" s="2">
        <v>41</v>
      </c>
      <c r="K100" s="40">
        <v>0.05</v>
      </c>
      <c r="L100" s="2">
        <f t="shared" ref="L100" si="25">J100*K100</f>
        <v>2.0500000000000003</v>
      </c>
      <c r="N100" s="2">
        <f t="shared" ref="N100" si="26">J100+L100</f>
        <v>43.05</v>
      </c>
    </row>
    <row r="101" spans="1:15" s="58" customFormat="1" ht="15.75">
      <c r="A101" s="19">
        <f>SUM(A100:A100)</f>
        <v>43.05</v>
      </c>
      <c r="B101" s="20" t="s">
        <v>25</v>
      </c>
      <c r="C101" s="83"/>
      <c r="D101" s="83"/>
      <c r="E101" s="83"/>
      <c r="F101" s="83"/>
      <c r="G101" s="20" t="s">
        <v>26</v>
      </c>
      <c r="H101" s="22">
        <f>H100</f>
        <v>9471</v>
      </c>
      <c r="I101" s="48"/>
      <c r="J101" s="56" t="e">
        <f>J100+#REF!+#REF!+#REF!+#REF!+#REF!+#REF!+#REF!+#REF!+#REF!+#REF!+#REF!</f>
        <v>#REF!</v>
      </c>
      <c r="K101" s="57"/>
      <c r="L101" s="56"/>
      <c r="M101" s="56"/>
      <c r="N101" s="56"/>
    </row>
    <row r="102" spans="1:15" s="48" customFormat="1">
      <c r="A102" s="100"/>
      <c r="B102" s="101"/>
      <c r="C102" s="101"/>
      <c r="D102" s="101"/>
      <c r="E102" s="101"/>
      <c r="F102" s="101"/>
      <c r="G102" s="101"/>
      <c r="H102" s="102"/>
    </row>
    <row r="103" spans="1:15" s="48" customFormat="1" ht="18.75" customHeight="1">
      <c r="A103" s="60">
        <f>A101+A96+A89</f>
        <v>759.37049999999988</v>
      </c>
      <c r="B103" s="71" t="s">
        <v>25</v>
      </c>
      <c r="C103" s="107" t="s">
        <v>134</v>
      </c>
      <c r="D103" s="107"/>
      <c r="E103" s="107"/>
      <c r="F103" s="107"/>
      <c r="G103" s="71" t="s">
        <v>26</v>
      </c>
      <c r="H103" s="61">
        <f>H89+H96+H101</f>
        <v>167061.51</v>
      </c>
      <c r="K103" s="62"/>
    </row>
    <row r="104" spans="1:15" s="48" customFormat="1" ht="15.75" customHeight="1">
      <c r="A104" s="100"/>
      <c r="B104" s="101"/>
      <c r="C104" s="101"/>
      <c r="D104" s="101"/>
      <c r="E104" s="101"/>
      <c r="F104" s="101"/>
      <c r="G104" s="101"/>
      <c r="H104" s="102"/>
    </row>
    <row r="105" spans="1:15" s="48" customFormat="1" ht="18" hidden="1">
      <c r="A105" s="74" t="s">
        <v>33</v>
      </c>
      <c r="B105" s="74"/>
      <c r="C105" s="74"/>
      <c r="D105" s="74"/>
      <c r="E105" s="74"/>
      <c r="F105" s="74"/>
      <c r="G105" s="74"/>
      <c r="H105" s="74"/>
      <c r="J105" s="56"/>
      <c r="K105" s="57"/>
      <c r="L105" s="56">
        <v>90</v>
      </c>
      <c r="M105" s="48" t="e">
        <f>#REF!/L105</f>
        <v>#REF!</v>
      </c>
      <c r="N105" s="56">
        <v>30</v>
      </c>
      <c r="O105" s="48" t="e">
        <f>N105*M105</f>
        <v>#REF!</v>
      </c>
    </row>
    <row r="106" spans="1:15" s="52" customFormat="1" ht="15" hidden="1">
      <c r="A106" s="73" t="s">
        <v>10</v>
      </c>
      <c r="B106" s="50" t="s">
        <v>11</v>
      </c>
      <c r="C106" s="75" t="s">
        <v>12</v>
      </c>
      <c r="D106" s="75"/>
      <c r="E106" s="75"/>
      <c r="F106" s="75"/>
      <c r="G106" s="51" t="s">
        <v>13</v>
      </c>
      <c r="H106" s="51" t="s">
        <v>9</v>
      </c>
      <c r="I106" s="48"/>
      <c r="J106" s="56"/>
      <c r="K106" s="57"/>
      <c r="L106" s="56"/>
      <c r="N106" s="56"/>
    </row>
    <row r="107" spans="1:15" s="2" customFormat="1" ht="22.5" hidden="1" customHeight="1">
      <c r="A107" s="68">
        <v>0</v>
      </c>
      <c r="B107" s="15" t="s">
        <v>18</v>
      </c>
      <c r="C107" s="76" t="s">
        <v>34</v>
      </c>
      <c r="D107" s="76"/>
      <c r="E107" s="76"/>
      <c r="F107" s="76"/>
      <c r="G107" s="16" t="e">
        <f>#REF!</f>
        <v>#REF!</v>
      </c>
      <c r="H107" s="17" t="e">
        <f>G107*A107</f>
        <v>#REF!</v>
      </c>
      <c r="I107" s="1"/>
      <c r="J107" s="2">
        <v>25.55</v>
      </c>
      <c r="K107" s="40">
        <v>0.05</v>
      </c>
      <c r="L107" s="2">
        <f t="shared" ref="L107" si="27">J107*K107</f>
        <v>1.2775000000000001</v>
      </c>
      <c r="N107" s="2">
        <f t="shared" ref="N107" si="28">J107+L107</f>
        <v>26.827500000000001</v>
      </c>
    </row>
    <row r="108" spans="1:15" s="58" customFormat="1" ht="15.75" hidden="1">
      <c r="A108" s="19">
        <f>SUM(A107:A107)</f>
        <v>0</v>
      </c>
      <c r="B108" s="20" t="s">
        <v>25</v>
      </c>
      <c r="C108" s="83"/>
      <c r="D108" s="83"/>
      <c r="E108" s="83"/>
      <c r="F108" s="83"/>
      <c r="G108" s="20" t="s">
        <v>26</v>
      </c>
      <c r="H108" s="22" t="e">
        <f>H107</f>
        <v>#REF!</v>
      </c>
      <c r="I108" s="48"/>
      <c r="J108" s="56" t="e">
        <f>J107+#REF!+#REF!+#REF!+#REF!+J26+#REF!+J24+J23+J17+J16+J15</f>
        <v>#REF!</v>
      </c>
      <c r="K108" s="57"/>
      <c r="L108" s="56"/>
      <c r="M108" s="56"/>
      <c r="N108" s="56"/>
    </row>
    <row r="109" spans="1:15" s="48" customFormat="1" ht="15.75" hidden="1" customHeight="1">
      <c r="A109" s="100"/>
      <c r="B109" s="101"/>
      <c r="C109" s="101"/>
      <c r="D109" s="101"/>
      <c r="E109" s="101"/>
      <c r="F109" s="101"/>
      <c r="G109" s="101"/>
      <c r="H109" s="102"/>
    </row>
    <row r="110" spans="1:15" s="48" customFormat="1" ht="21.75" customHeight="1">
      <c r="A110" s="60">
        <f>A103+A81+A58+A35</f>
        <v>3009.7649999999994</v>
      </c>
      <c r="B110" s="71" t="s">
        <v>25</v>
      </c>
      <c r="C110" s="107" t="s">
        <v>92</v>
      </c>
      <c r="D110" s="107"/>
      <c r="E110" s="107"/>
      <c r="F110" s="107"/>
      <c r="G110" s="71" t="s">
        <v>26</v>
      </c>
      <c r="H110" s="61">
        <f>H103+H81+H58+H35</f>
        <v>669708.30000000016</v>
      </c>
      <c r="K110" s="62"/>
    </row>
    <row r="111" spans="1:15" s="48" customFormat="1" ht="21.75" customHeight="1">
      <c r="A111" s="108"/>
      <c r="B111" s="108"/>
      <c r="C111" s="108"/>
      <c r="D111" s="108"/>
      <c r="E111" s="108"/>
      <c r="F111" s="108"/>
      <c r="G111" s="108"/>
      <c r="H111" s="108"/>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89</v>
      </c>
      <c r="D114" s="129"/>
      <c r="E114" s="129"/>
      <c r="F114" s="130"/>
      <c r="G114" s="24">
        <v>120</v>
      </c>
      <c r="H114" s="25">
        <f>A114*G114</f>
        <v>13200</v>
      </c>
    </row>
    <row r="115" spans="1:12" s="1" customFormat="1" ht="38.450000000000003" customHeight="1">
      <c r="A115" s="23">
        <v>75</v>
      </c>
      <c r="B115" s="23" t="s">
        <v>22</v>
      </c>
      <c r="C115" s="131" t="s">
        <v>90</v>
      </c>
      <c r="D115" s="131"/>
      <c r="E115" s="131"/>
      <c r="F115" s="131"/>
      <c r="G115" s="24">
        <v>60</v>
      </c>
      <c r="H115" s="25">
        <f>A115*G115</f>
        <v>4500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93</v>
      </c>
      <c r="D117" s="107"/>
      <c r="E117" s="107"/>
      <c r="F117" s="107"/>
      <c r="G117" s="27" t="s">
        <v>43</v>
      </c>
      <c r="H117" s="28">
        <f>H114+H115+H116</f>
        <v>26700</v>
      </c>
    </row>
    <row r="118" spans="1:12" s="48" customFormat="1">
      <c r="A118" s="108"/>
      <c r="B118" s="108"/>
      <c r="C118" s="108"/>
      <c r="D118" s="108"/>
      <c r="E118" s="108"/>
      <c r="F118" s="108"/>
      <c r="G118" s="108"/>
      <c r="H118" s="108"/>
      <c r="J118" s="48" t="e">
        <f>#REF!-#REF!-#REF!</f>
        <v>#REF!</v>
      </c>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89</v>
      </c>
      <c r="D121" s="129"/>
      <c r="E121" s="129"/>
      <c r="F121" s="130"/>
      <c r="G121" s="24">
        <v>120</v>
      </c>
      <c r="H121" s="25">
        <f>A121*G121</f>
        <v>13200</v>
      </c>
    </row>
    <row r="122" spans="1:12" s="1" customFormat="1" ht="38.450000000000003" customHeight="1">
      <c r="A122" s="23">
        <v>75</v>
      </c>
      <c r="B122" s="23" t="s">
        <v>22</v>
      </c>
      <c r="C122" s="131" t="s">
        <v>90</v>
      </c>
      <c r="D122" s="131"/>
      <c r="E122" s="131"/>
      <c r="F122" s="131"/>
      <c r="G122" s="24">
        <v>60</v>
      </c>
      <c r="H122" s="25">
        <f>A122*G122</f>
        <v>4500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137</v>
      </c>
      <c r="D124" s="107"/>
      <c r="E124" s="107"/>
      <c r="F124" s="107"/>
      <c r="G124" s="27" t="s">
        <v>43</v>
      </c>
      <c r="H124" s="28">
        <f>H121+H122+H123</f>
        <v>26700</v>
      </c>
    </row>
    <row r="125" spans="1:12" s="48" customFormat="1">
      <c r="A125" s="100"/>
      <c r="B125" s="101"/>
      <c r="C125" s="101"/>
      <c r="D125" s="101"/>
      <c r="E125" s="101"/>
      <c r="F125" s="101"/>
      <c r="G125" s="101"/>
      <c r="H125" s="102"/>
    </row>
    <row r="126" spans="1:12" s="1" customFormat="1" ht="18">
      <c r="A126" s="109" t="s">
        <v>36</v>
      </c>
      <c r="B126" s="109"/>
      <c r="C126" s="109"/>
      <c r="D126" s="109"/>
      <c r="E126" s="109"/>
      <c r="F126" s="109"/>
      <c r="G126" s="109"/>
      <c r="H126" s="109"/>
    </row>
    <row r="127" spans="1:12" s="1" customFormat="1" ht="15">
      <c r="A127" s="72" t="s">
        <v>10</v>
      </c>
      <c r="B127" s="12" t="s">
        <v>11</v>
      </c>
      <c r="C127" s="110" t="s">
        <v>37</v>
      </c>
      <c r="D127" s="110"/>
      <c r="E127" s="110"/>
      <c r="F127" s="110"/>
      <c r="G127" s="13" t="s">
        <v>13</v>
      </c>
      <c r="H127" s="13" t="s">
        <v>9</v>
      </c>
      <c r="J127" s="1">
        <v>1700</v>
      </c>
      <c r="K127" s="1">
        <f>J127/A129</f>
        <v>22.666666666666668</v>
      </c>
    </row>
    <row r="128" spans="1:12" s="1" customFormat="1" ht="53.1" customHeight="1">
      <c r="A128" s="23">
        <v>110</v>
      </c>
      <c r="B128" s="23" t="s">
        <v>22</v>
      </c>
      <c r="C128" s="128" t="s">
        <v>89</v>
      </c>
      <c r="D128" s="129"/>
      <c r="E128" s="129"/>
      <c r="F128" s="130"/>
      <c r="G128" s="24">
        <v>120</v>
      </c>
      <c r="H128" s="25">
        <f>A128*G128</f>
        <v>13200</v>
      </c>
    </row>
    <row r="129" spans="1:12" s="1" customFormat="1" ht="38.450000000000003" customHeight="1">
      <c r="A129" s="23">
        <v>75</v>
      </c>
      <c r="B129" s="23" t="s">
        <v>22</v>
      </c>
      <c r="C129" s="131" t="s">
        <v>90</v>
      </c>
      <c r="D129" s="131"/>
      <c r="E129" s="131"/>
      <c r="F129" s="131"/>
      <c r="G129" s="24">
        <v>60</v>
      </c>
      <c r="H129" s="25">
        <f>A129*G129</f>
        <v>4500</v>
      </c>
      <c r="J129"/>
      <c r="L129"/>
    </row>
    <row r="130" spans="1:12" s="1" customFormat="1" ht="42.95" customHeight="1">
      <c r="A130" s="15">
        <v>1</v>
      </c>
      <c r="B130" s="15" t="s">
        <v>40</v>
      </c>
      <c r="C130" s="132" t="s">
        <v>41</v>
      </c>
      <c r="D130" s="133"/>
      <c r="E130" s="133"/>
      <c r="F130" s="133"/>
      <c r="G130" s="24">
        <v>9000</v>
      </c>
      <c r="H130" s="25">
        <f>A130*G130</f>
        <v>9000</v>
      </c>
      <c r="J130"/>
      <c r="L130"/>
    </row>
    <row r="131" spans="1:12" s="48" customFormat="1" ht="15.75">
      <c r="A131" s="71"/>
      <c r="B131" s="71" t="s">
        <v>17</v>
      </c>
      <c r="C131" s="107" t="s">
        <v>138</v>
      </c>
      <c r="D131" s="107"/>
      <c r="E131" s="107"/>
      <c r="F131" s="107"/>
      <c r="G131" s="27" t="s">
        <v>43</v>
      </c>
      <c r="H131" s="28">
        <f>H128+H129+H130</f>
        <v>26700</v>
      </c>
    </row>
    <row r="132" spans="1:12" s="48" customFormat="1">
      <c r="A132" s="100"/>
      <c r="B132" s="101"/>
      <c r="C132" s="101"/>
      <c r="D132" s="101"/>
      <c r="E132" s="101"/>
      <c r="F132" s="101"/>
      <c r="G132" s="101"/>
      <c r="H132" s="102"/>
    </row>
    <row r="133" spans="1:12" s="1" customFormat="1" ht="18">
      <c r="A133" s="109" t="s">
        <v>36</v>
      </c>
      <c r="B133" s="109"/>
      <c r="C133" s="109"/>
      <c r="D133" s="109"/>
      <c r="E133" s="109"/>
      <c r="F133" s="109"/>
      <c r="G133" s="109"/>
      <c r="H133" s="109"/>
    </row>
    <row r="134" spans="1:12" s="1" customFormat="1" ht="15">
      <c r="A134" s="72" t="s">
        <v>10</v>
      </c>
      <c r="B134" s="12" t="s">
        <v>11</v>
      </c>
      <c r="C134" s="110" t="s">
        <v>37</v>
      </c>
      <c r="D134" s="110"/>
      <c r="E134" s="110"/>
      <c r="F134" s="110"/>
      <c r="G134" s="13" t="s">
        <v>13</v>
      </c>
      <c r="H134" s="13" t="s">
        <v>9</v>
      </c>
      <c r="J134" s="1">
        <v>1700</v>
      </c>
      <c r="K134" s="1">
        <f>J134/A135</f>
        <v>22.666666666666668</v>
      </c>
    </row>
    <row r="135" spans="1:12" s="1" customFormat="1" ht="38.450000000000003" customHeight="1">
      <c r="A135" s="23">
        <v>75</v>
      </c>
      <c r="B135" s="23" t="s">
        <v>22</v>
      </c>
      <c r="C135" s="131" t="s">
        <v>90</v>
      </c>
      <c r="D135" s="131"/>
      <c r="E135" s="131"/>
      <c r="F135" s="131"/>
      <c r="G135" s="24">
        <v>60</v>
      </c>
      <c r="H135" s="25">
        <f>A135*G135</f>
        <v>4500</v>
      </c>
      <c r="J135"/>
      <c r="L135"/>
    </row>
    <row r="136" spans="1:12" s="1" customFormat="1" ht="42.95" customHeight="1">
      <c r="A136" s="15">
        <v>1</v>
      </c>
      <c r="B136" s="15" t="s">
        <v>40</v>
      </c>
      <c r="C136" s="132" t="s">
        <v>41</v>
      </c>
      <c r="D136" s="133"/>
      <c r="E136" s="133"/>
      <c r="F136" s="133"/>
      <c r="G136" s="24">
        <v>9000</v>
      </c>
      <c r="H136" s="25">
        <f>A136*G136</f>
        <v>9000</v>
      </c>
      <c r="J136"/>
      <c r="L136"/>
    </row>
    <row r="137" spans="1:12" s="48" customFormat="1" ht="15.75">
      <c r="A137" s="71"/>
      <c r="B137" s="71" t="s">
        <v>17</v>
      </c>
      <c r="C137" s="107" t="s">
        <v>94</v>
      </c>
      <c r="D137" s="107"/>
      <c r="E137" s="107"/>
      <c r="F137" s="107"/>
      <c r="G137" s="27" t="s">
        <v>43</v>
      </c>
      <c r="H137" s="28">
        <f>H135+H136</f>
        <v>13500</v>
      </c>
    </row>
    <row r="138" spans="1:12" s="48" customFormat="1">
      <c r="A138" s="100"/>
      <c r="B138" s="101"/>
      <c r="C138" s="101"/>
      <c r="D138" s="101"/>
      <c r="E138" s="101"/>
      <c r="F138" s="101"/>
      <c r="G138" s="101"/>
      <c r="H138" s="102"/>
    </row>
    <row r="139" spans="1:12" s="48" customFormat="1" ht="21.75" customHeight="1">
      <c r="A139" s="60"/>
      <c r="B139" s="71"/>
      <c r="C139" s="107" t="s">
        <v>95</v>
      </c>
      <c r="D139" s="107"/>
      <c r="E139" s="107"/>
      <c r="F139" s="107"/>
      <c r="G139" s="71" t="s">
        <v>26</v>
      </c>
      <c r="H139" s="61">
        <f>H137+H131+H124+H117</f>
        <v>93600</v>
      </c>
      <c r="K139" s="62"/>
    </row>
    <row r="140" spans="1:12" s="48" customFormat="1">
      <c r="A140" s="100"/>
      <c r="B140" s="101"/>
      <c r="C140" s="101"/>
      <c r="D140" s="101"/>
      <c r="E140" s="101"/>
      <c r="F140" s="101"/>
      <c r="G140" s="101"/>
      <c r="H140" s="102"/>
    </row>
    <row r="141" spans="1:12" s="48" customFormat="1" ht="15" customHeight="1">
      <c r="A141" s="111" t="s">
        <v>44</v>
      </c>
      <c r="B141" s="111"/>
      <c r="C141" s="111"/>
      <c r="D141" s="111"/>
      <c r="E141" s="111"/>
      <c r="F141" s="111"/>
      <c r="G141" s="111"/>
      <c r="H141" s="111"/>
    </row>
    <row r="142" spans="1:12" s="48" customFormat="1" ht="388.5" customHeight="1">
      <c r="A142" s="112"/>
      <c r="B142" s="113"/>
      <c r="C142" s="113"/>
      <c r="D142" s="113"/>
      <c r="E142" s="113"/>
      <c r="F142" s="113"/>
      <c r="G142" s="113"/>
      <c r="H142" s="114"/>
      <c r="J142" s="63"/>
    </row>
    <row r="143" spans="1:12" s="48" customFormat="1" ht="41.25" customHeight="1">
      <c r="A143" s="115"/>
      <c r="B143" s="116"/>
      <c r="C143" s="116"/>
      <c r="D143" s="116"/>
      <c r="E143" s="116"/>
      <c r="F143" s="116"/>
      <c r="G143" s="116"/>
      <c r="H143" s="117"/>
    </row>
    <row r="144" spans="1:12" ht="28.15" customHeight="1">
      <c r="A144" s="118" t="s">
        <v>45</v>
      </c>
      <c r="B144" s="119"/>
      <c r="C144" s="119"/>
      <c r="D144" s="119"/>
      <c r="E144" s="119"/>
      <c r="F144" s="120"/>
      <c r="G144" s="29" t="s">
        <v>43</v>
      </c>
      <c r="H144" s="30">
        <f>H110+H139</f>
        <v>763308.30000000016</v>
      </c>
      <c r="J144" s="41"/>
    </row>
    <row r="145" spans="1:15" ht="28.15" hidden="1" customHeight="1">
      <c r="A145" s="121"/>
      <c r="B145" s="122"/>
      <c r="C145" s="122"/>
      <c r="D145" s="122"/>
      <c r="E145" s="122"/>
      <c r="F145" s="123"/>
      <c r="G145" s="29" t="s">
        <v>46</v>
      </c>
      <c r="H145" s="30">
        <v>0</v>
      </c>
      <c r="J145" s="42"/>
    </row>
    <row r="146" spans="1:15" ht="23.25" customHeight="1">
      <c r="A146" s="124"/>
      <c r="B146" s="125"/>
      <c r="C146" s="125"/>
      <c r="D146" s="125"/>
      <c r="E146" s="125"/>
      <c r="F146" s="126"/>
      <c r="G146" s="31" t="s">
        <v>47</v>
      </c>
      <c r="H146" s="32">
        <f>H144-H145</f>
        <v>763308.30000000016</v>
      </c>
      <c r="J146" s="42"/>
    </row>
    <row r="147" spans="1:15" ht="21.95" customHeight="1">
      <c r="A147" s="74" t="s">
        <v>48</v>
      </c>
      <c r="B147" s="74"/>
      <c r="C147" s="127" t="s">
        <v>179</v>
      </c>
      <c r="D147" s="127"/>
      <c r="E147" s="127"/>
      <c r="F147" s="127"/>
      <c r="G147" s="33" t="s">
        <v>49</v>
      </c>
      <c r="H147" s="34">
        <f>9000*4</f>
        <v>36000</v>
      </c>
      <c r="I147" s="4">
        <v>9</v>
      </c>
      <c r="J147" s="43"/>
    </row>
    <row r="148" spans="1:15" ht="21.95" customHeight="1">
      <c r="A148" s="74"/>
      <c r="B148" s="74"/>
      <c r="C148" s="127"/>
      <c r="D148" s="127"/>
      <c r="E148" s="127"/>
      <c r="F148" s="127"/>
      <c r="G148" s="31" t="s">
        <v>50</v>
      </c>
      <c r="H148" s="30">
        <f>H146+H147</f>
        <v>799308.30000000016</v>
      </c>
      <c r="J148" s="42"/>
    </row>
    <row r="149" spans="1:15" ht="21.95" customHeight="1">
      <c r="A149" s="74"/>
      <c r="B149" s="74"/>
      <c r="C149" s="127"/>
      <c r="D149" s="127"/>
      <c r="E149" s="127"/>
      <c r="F149" s="127"/>
      <c r="G149" s="33" t="s">
        <v>51</v>
      </c>
      <c r="H149" s="34">
        <f>H148*0.16</f>
        <v>127889.32800000002</v>
      </c>
      <c r="J149" s="43">
        <v>19</v>
      </c>
      <c r="K149" s="4">
        <f>H144*J149</f>
        <v>14502857.700000003</v>
      </c>
      <c r="O149" s="44">
        <f>H150*4</f>
        <v>3708790.5120000006</v>
      </c>
    </row>
    <row r="150" spans="1:15" ht="21.95" customHeight="1">
      <c r="A150" s="74"/>
      <c r="B150" s="74"/>
      <c r="C150" s="127"/>
      <c r="D150" s="127"/>
      <c r="E150" s="127"/>
      <c r="F150" s="127"/>
      <c r="G150" s="35" t="s">
        <v>52</v>
      </c>
      <c r="H150" s="36">
        <f>H148+H149</f>
        <v>927197.62800000014</v>
      </c>
      <c r="I150" s="44">
        <f>H150/A110</f>
        <v>308.06313051018947</v>
      </c>
      <c r="J150" s="45"/>
    </row>
    <row r="151" spans="1:15">
      <c r="A151" s="88"/>
      <c r="B151" s="88"/>
      <c r="C151" s="88"/>
      <c r="D151" s="88"/>
      <c r="E151" s="88"/>
      <c r="F151" s="88"/>
      <c r="G151" s="88"/>
      <c r="H151" s="88"/>
    </row>
    <row r="152" spans="1:15" ht="31.15" customHeight="1">
      <c r="A152" s="74" t="s">
        <v>53</v>
      </c>
      <c r="B152" s="74"/>
      <c r="C152" s="74"/>
      <c r="D152" s="74"/>
      <c r="E152" s="74"/>
      <c r="F152" s="74"/>
      <c r="G152" s="74"/>
      <c r="H152" s="74"/>
      <c r="J152" s="44"/>
    </row>
    <row r="153" spans="1:15" ht="12" customHeight="1">
      <c r="A153" s="134"/>
      <c r="B153" s="134"/>
      <c r="C153" s="134"/>
      <c r="D153" s="134"/>
      <c r="E153" s="134"/>
      <c r="F153" s="134"/>
      <c r="G153" s="134"/>
      <c r="H153" s="134"/>
      <c r="K153" s="44">
        <f>H146*12</f>
        <v>9159699.6000000015</v>
      </c>
    </row>
    <row r="154" spans="1:15" ht="30.75" customHeight="1" thickBot="1">
      <c r="A154" s="135" t="s">
        <v>54</v>
      </c>
      <c r="B154" s="135"/>
      <c r="C154" s="136" t="s">
        <v>55</v>
      </c>
      <c r="D154" s="136"/>
      <c r="E154" s="136"/>
      <c r="F154" s="136"/>
      <c r="G154" s="137" t="s">
        <v>56</v>
      </c>
      <c r="H154" s="137"/>
    </row>
    <row r="155" spans="1:15" ht="19.899999999999999" customHeight="1" thickBot="1">
      <c r="A155" s="138" t="s">
        <v>57</v>
      </c>
      <c r="B155" s="138"/>
      <c r="C155" s="136" t="s">
        <v>58</v>
      </c>
      <c r="D155" s="136"/>
      <c r="E155" s="136"/>
      <c r="F155" s="136"/>
      <c r="G155" s="139"/>
      <c r="H155" s="140"/>
      <c r="K155" s="64">
        <f>H150*3</f>
        <v>2781592.8840000005</v>
      </c>
    </row>
    <row r="156" spans="1:15" ht="27.6" customHeight="1">
      <c r="A156" s="142" t="s">
        <v>59</v>
      </c>
      <c r="B156" s="143"/>
      <c r="C156" s="37" t="s">
        <v>60</v>
      </c>
      <c r="D156" s="148">
        <f>H150*0.6</f>
        <v>556318.57680000004</v>
      </c>
      <c r="E156" s="148"/>
      <c r="F156" s="148"/>
      <c r="G156" s="149"/>
      <c r="H156" s="150"/>
    </row>
    <row r="157" spans="1:15" ht="39" customHeight="1">
      <c r="A157" s="144"/>
      <c r="B157" s="145"/>
      <c r="C157" s="37" t="s">
        <v>98</v>
      </c>
      <c r="D157" s="141">
        <f>H150*0.3</f>
        <v>278159.28840000002</v>
      </c>
      <c r="E157" s="141"/>
      <c r="F157" s="141"/>
      <c r="G157" s="151"/>
      <c r="H157" s="152"/>
      <c r="J157" s="44">
        <f>H150-'[1]CTZ 8T (altura 270.7)'!H66</f>
        <v>688896.27261280012</v>
      </c>
    </row>
    <row r="158" spans="1:15" ht="39" customHeight="1">
      <c r="A158" s="144"/>
      <c r="B158" s="145"/>
      <c r="C158" s="37" t="s">
        <v>99</v>
      </c>
      <c r="D158" s="141">
        <f>H150*0.1</f>
        <v>92719.762800000026</v>
      </c>
      <c r="E158" s="141"/>
      <c r="F158" s="141"/>
      <c r="G158" s="151"/>
      <c r="H158" s="152"/>
      <c r="J158" s="44"/>
    </row>
    <row r="159" spans="1:15" ht="31.5" customHeight="1">
      <c r="A159" s="144"/>
      <c r="B159" s="145"/>
      <c r="C159" s="155" t="s">
        <v>61</v>
      </c>
      <c r="D159" s="157">
        <f>D156+D157+D158</f>
        <v>927197.62800000014</v>
      </c>
      <c r="E159" s="158"/>
      <c r="F159" s="159"/>
      <c r="G159" s="153"/>
      <c r="H159" s="154"/>
      <c r="J159" s="46"/>
      <c r="M159" s="46">
        <f>D156*8</f>
        <v>4450548.6144000003</v>
      </c>
    </row>
    <row r="160" spans="1:15" ht="5.45" hidden="1" customHeight="1">
      <c r="A160" s="146"/>
      <c r="B160" s="147"/>
      <c r="C160" s="156"/>
      <c r="D160" s="160"/>
      <c r="E160" s="161"/>
      <c r="F160" s="162"/>
      <c r="G160" s="163" t="s">
        <v>62</v>
      </c>
      <c r="H160" s="164"/>
    </row>
    <row r="161" spans="1:12" ht="24.95" customHeight="1">
      <c r="A161" s="172" t="s">
        <v>63</v>
      </c>
      <c r="B161" s="173"/>
      <c r="C161" s="38" t="s">
        <v>100</v>
      </c>
      <c r="D161" s="167"/>
      <c r="E161" s="168"/>
      <c r="F161" s="169"/>
      <c r="G161" s="165" t="s">
        <v>155</v>
      </c>
      <c r="H161" s="166"/>
      <c r="J161" s="38">
        <v>75</v>
      </c>
    </row>
    <row r="162" spans="1:12" ht="24.95" customHeight="1">
      <c r="A162" s="174"/>
      <c r="B162" s="175"/>
      <c r="C162" s="38" t="s">
        <v>101</v>
      </c>
      <c r="D162" s="167"/>
      <c r="E162" s="168"/>
      <c r="F162" s="169"/>
      <c r="G162" s="165" t="s">
        <v>103</v>
      </c>
      <c r="H162" s="166"/>
      <c r="J162" s="38">
        <v>120</v>
      </c>
      <c r="L162" s="46"/>
    </row>
    <row r="163" spans="1:12" ht="24.95" customHeight="1">
      <c r="A163" s="174"/>
      <c r="B163" s="175"/>
      <c r="C163" s="38" t="s">
        <v>102</v>
      </c>
      <c r="D163" s="167"/>
      <c r="E163" s="168"/>
      <c r="F163" s="169"/>
      <c r="G163" s="165" t="s">
        <v>156</v>
      </c>
      <c r="H163" s="166"/>
      <c r="J163" s="38">
        <f t="shared" ref="J163" si="29">J162+15</f>
        <v>135</v>
      </c>
      <c r="L163" s="46"/>
    </row>
    <row r="164" spans="1:12" ht="24.95" customHeight="1">
      <c r="A164" s="174"/>
      <c r="B164" s="175"/>
      <c r="C164" s="38" t="s">
        <v>70</v>
      </c>
      <c r="D164" s="167"/>
      <c r="E164" s="168"/>
      <c r="F164" s="169"/>
      <c r="G164" s="165" t="s">
        <v>157</v>
      </c>
      <c r="H164" s="166"/>
      <c r="J164" s="38">
        <f>J163+15</f>
        <v>150</v>
      </c>
    </row>
    <row r="165" spans="1:12" ht="24.95" hidden="1" customHeight="1">
      <c r="A165" s="174"/>
      <c r="B165" s="175"/>
      <c r="C165" s="38" t="s">
        <v>70</v>
      </c>
      <c r="D165" s="167">
        <f>H150*2</f>
        <v>1854395.2560000003</v>
      </c>
      <c r="E165" s="168"/>
      <c r="F165" s="169"/>
      <c r="G165" s="165" t="s">
        <v>71</v>
      </c>
      <c r="H165" s="166"/>
      <c r="J165" s="47"/>
    </row>
    <row r="166" spans="1:12" ht="24.95" hidden="1" customHeight="1">
      <c r="A166" s="174"/>
      <c r="B166" s="175"/>
      <c r="C166" s="38" t="s">
        <v>72</v>
      </c>
      <c r="D166" s="167">
        <f>H150*2</f>
        <v>1854395.2560000003</v>
      </c>
      <c r="E166" s="168"/>
      <c r="F166" s="169"/>
      <c r="G166" s="165" t="s">
        <v>71</v>
      </c>
      <c r="H166" s="166"/>
      <c r="J166" s="47"/>
    </row>
    <row r="167" spans="1:12" ht="24.95" hidden="1" customHeight="1">
      <c r="A167" s="176"/>
      <c r="B167" s="177"/>
      <c r="C167" s="38" t="s">
        <v>73</v>
      </c>
      <c r="D167" s="167">
        <f>H150*3</f>
        <v>2781592.8840000005</v>
      </c>
      <c r="E167" s="168"/>
      <c r="F167" s="169"/>
      <c r="G167" s="165" t="s">
        <v>74</v>
      </c>
      <c r="H167" s="166"/>
      <c r="J167" s="47"/>
    </row>
    <row r="168" spans="1:12" ht="19.149999999999999" customHeight="1">
      <c r="A168" s="135" t="s">
        <v>75</v>
      </c>
      <c r="B168" s="135"/>
      <c r="C168" s="170" t="s">
        <v>76</v>
      </c>
      <c r="D168" s="170"/>
      <c r="E168" s="170"/>
      <c r="F168" s="170"/>
      <c r="G168" s="91"/>
      <c r="H168" s="171"/>
      <c r="J168" s="46">
        <f>SUM(D162:F164)</f>
        <v>0</v>
      </c>
    </row>
    <row r="169" spans="1:12" ht="10.15" customHeight="1">
      <c r="A169" s="88"/>
      <c r="B169" s="88"/>
      <c r="C169" s="88"/>
      <c r="D169" s="88"/>
      <c r="E169" s="88"/>
      <c r="F169" s="88"/>
      <c r="G169" s="189"/>
      <c r="H169" s="189"/>
      <c r="J169" s="46"/>
      <c r="K169" s="46"/>
    </row>
    <row r="170" spans="1:12" ht="117" customHeight="1">
      <c r="A170" s="137" t="s">
        <v>77</v>
      </c>
      <c r="B170" s="137"/>
      <c r="C170" s="190" t="s">
        <v>176</v>
      </c>
      <c r="D170" s="190"/>
      <c r="E170" s="190"/>
      <c r="F170" s="190"/>
      <c r="G170" s="190"/>
      <c r="H170" s="39"/>
      <c r="J170" s="46"/>
    </row>
    <row r="171" spans="1:12" ht="27" customHeight="1">
      <c r="A171" s="137"/>
      <c r="B171" s="137"/>
      <c r="C171" s="190" t="s">
        <v>78</v>
      </c>
      <c r="D171" s="190"/>
      <c r="E171" s="190"/>
      <c r="F171" s="190"/>
      <c r="G171" s="190"/>
      <c r="H171" s="39"/>
    </row>
    <row r="172" spans="1:12" ht="67.150000000000006" customHeight="1">
      <c r="A172" s="137"/>
      <c r="B172" s="137"/>
      <c r="C172" s="190" t="s">
        <v>96</v>
      </c>
      <c r="D172" s="190"/>
      <c r="E172" s="190"/>
      <c r="F172" s="190"/>
      <c r="G172" s="190"/>
      <c r="H172" s="39"/>
    </row>
    <row r="173" spans="1:12" ht="54" customHeight="1">
      <c r="A173" s="137"/>
      <c r="B173" s="137"/>
      <c r="C173" s="190" t="s">
        <v>80</v>
      </c>
      <c r="D173" s="190"/>
      <c r="E173" s="190"/>
      <c r="F173" s="190"/>
      <c r="G173" s="190"/>
      <c r="H173" s="39"/>
    </row>
    <row r="174" spans="1:12" ht="150.75" hidden="1" customHeight="1">
      <c r="A174" s="137"/>
      <c r="B174" s="137"/>
      <c r="C174" s="181" t="s">
        <v>81</v>
      </c>
      <c r="D174" s="182"/>
      <c r="E174" s="182"/>
      <c r="F174" s="182"/>
      <c r="G174" s="183"/>
      <c r="H174" s="39"/>
    </row>
    <row r="175" spans="1:12" ht="30" customHeight="1">
      <c r="A175" s="137"/>
      <c r="B175" s="137"/>
      <c r="C175" s="190" t="s">
        <v>82</v>
      </c>
      <c r="D175" s="190"/>
      <c r="E175" s="190"/>
      <c r="F175" s="190"/>
      <c r="G175" s="190"/>
      <c r="H175" s="39"/>
    </row>
    <row r="176" spans="1:12" ht="51" customHeight="1">
      <c r="A176" s="137"/>
      <c r="B176" s="137"/>
      <c r="C176" s="190" t="s">
        <v>83</v>
      </c>
      <c r="D176" s="190"/>
      <c r="E176" s="190"/>
      <c r="F176" s="190"/>
      <c r="G176" s="190"/>
      <c r="H176" s="39"/>
    </row>
    <row r="177" spans="1:8" ht="64.5" hidden="1" customHeight="1">
      <c r="A177" s="137"/>
      <c r="B177" s="137"/>
      <c r="C177" s="181" t="s">
        <v>84</v>
      </c>
      <c r="D177" s="182"/>
      <c r="E177" s="182"/>
      <c r="F177" s="182"/>
      <c r="G177" s="183"/>
      <c r="H177" s="39"/>
    </row>
    <row r="178" spans="1:8" ht="103.5" customHeight="1">
      <c r="A178" s="137"/>
      <c r="B178" s="137"/>
      <c r="C178" s="184" t="s">
        <v>85</v>
      </c>
      <c r="D178" s="184"/>
      <c r="E178" s="184"/>
      <c r="F178" s="184"/>
      <c r="G178" s="184"/>
      <c r="H178" s="39"/>
    </row>
    <row r="179" spans="1:8" ht="24.95" customHeight="1">
      <c r="A179" s="137"/>
      <c r="B179" s="137"/>
      <c r="C179" s="184" t="s">
        <v>86</v>
      </c>
      <c r="D179" s="184"/>
      <c r="E179" s="184"/>
      <c r="F179" s="184"/>
      <c r="G179" s="184"/>
      <c r="H179" s="39"/>
    </row>
    <row r="180" spans="1:8" ht="7.9" customHeight="1">
      <c r="A180" s="185"/>
      <c r="B180" s="185"/>
      <c r="C180" s="185"/>
      <c r="D180" s="185"/>
      <c r="E180" s="185"/>
      <c r="F180" s="185"/>
      <c r="G180" s="185"/>
      <c r="H180" s="185"/>
    </row>
    <row r="181" spans="1:8" ht="30" customHeight="1">
      <c r="A181" s="185"/>
      <c r="B181" s="185"/>
      <c r="C181" s="185"/>
      <c r="D181" s="185"/>
      <c r="E181" s="185"/>
      <c r="F181" s="185"/>
      <c r="G181" s="185"/>
      <c r="H181" s="185"/>
    </row>
    <row r="182" spans="1:8" ht="30" customHeight="1">
      <c r="A182" s="185"/>
      <c r="B182" s="185"/>
      <c r="C182" s="185"/>
      <c r="D182" s="185"/>
      <c r="E182" s="185"/>
      <c r="F182" s="185"/>
      <c r="G182" s="185"/>
      <c r="H182" s="185"/>
    </row>
    <row r="183" spans="1:8" ht="24" customHeight="1">
      <c r="A183" s="185"/>
      <c r="B183" s="185"/>
      <c r="C183" s="185"/>
      <c r="D183" s="185"/>
      <c r="E183" s="185"/>
      <c r="F183" s="185"/>
      <c r="G183" s="185"/>
      <c r="H183" s="185"/>
    </row>
    <row r="184" spans="1:8" ht="43.9" customHeight="1">
      <c r="A184" s="185"/>
      <c r="B184" s="185"/>
      <c r="C184" s="185"/>
      <c r="D184" s="185"/>
      <c r="E184" s="185"/>
      <c r="F184" s="185"/>
      <c r="G184" s="185"/>
      <c r="H184" s="185"/>
    </row>
    <row r="185" spans="1:8" ht="18">
      <c r="A185" s="186" t="s">
        <v>87</v>
      </c>
      <c r="B185" s="187"/>
      <c r="C185" s="187"/>
      <c r="D185" s="187"/>
      <c r="E185" s="187"/>
      <c r="F185" s="187"/>
      <c r="G185" s="187"/>
      <c r="H185" s="188"/>
    </row>
    <row r="186" spans="1:8">
      <c r="A186" s="178" t="s">
        <v>88</v>
      </c>
      <c r="B186" s="179"/>
      <c r="C186" s="179"/>
      <c r="D186" s="179"/>
      <c r="E186" s="179"/>
      <c r="F186" s="179"/>
      <c r="G186" s="179"/>
      <c r="H186" s="180"/>
    </row>
  </sheetData>
  <mergeCells count="203">
    <mergeCell ref="A181:H184"/>
    <mergeCell ref="A185:H185"/>
    <mergeCell ref="A186:H186"/>
    <mergeCell ref="C175:G175"/>
    <mergeCell ref="C176:G176"/>
    <mergeCell ref="C177:G177"/>
    <mergeCell ref="C178:G178"/>
    <mergeCell ref="C179:G179"/>
    <mergeCell ref="A180:H180"/>
    <mergeCell ref="A168:B168"/>
    <mergeCell ref="C168:F168"/>
    <mergeCell ref="G168:H168"/>
    <mergeCell ref="A169:H169"/>
    <mergeCell ref="A170:B179"/>
    <mergeCell ref="C170:G170"/>
    <mergeCell ref="C171:G171"/>
    <mergeCell ref="C172:G172"/>
    <mergeCell ref="C173:G173"/>
    <mergeCell ref="C174:G174"/>
    <mergeCell ref="D165:F165"/>
    <mergeCell ref="G165:H165"/>
    <mergeCell ref="D166:F166"/>
    <mergeCell ref="G166:H166"/>
    <mergeCell ref="D167:F167"/>
    <mergeCell ref="G167:H167"/>
    <mergeCell ref="G160:H160"/>
    <mergeCell ref="A161:B167"/>
    <mergeCell ref="D161:F161"/>
    <mergeCell ref="G161:H161"/>
    <mergeCell ref="D162:F162"/>
    <mergeCell ref="G162:H162"/>
    <mergeCell ref="D163:F163"/>
    <mergeCell ref="G163:H163"/>
    <mergeCell ref="D164:F164"/>
    <mergeCell ref="G164:H164"/>
    <mergeCell ref="A155:B155"/>
    <mergeCell ref="C155:F155"/>
    <mergeCell ref="G155:H155"/>
    <mergeCell ref="A156:B160"/>
    <mergeCell ref="D156:F156"/>
    <mergeCell ref="G156:H159"/>
    <mergeCell ref="D157:F157"/>
    <mergeCell ref="D158:F158"/>
    <mergeCell ref="C159:C160"/>
    <mergeCell ref="D159:F160"/>
    <mergeCell ref="A147:B150"/>
    <mergeCell ref="C147:F150"/>
    <mergeCell ref="A151:H151"/>
    <mergeCell ref="A152:H152"/>
    <mergeCell ref="A153:H153"/>
    <mergeCell ref="A154:B154"/>
    <mergeCell ref="C154:F154"/>
    <mergeCell ref="G154:H154"/>
    <mergeCell ref="A138:H138"/>
    <mergeCell ref="C139:F139"/>
    <mergeCell ref="A140:H140"/>
    <mergeCell ref="A141:H141"/>
    <mergeCell ref="A142:H143"/>
    <mergeCell ref="A144:F146"/>
    <mergeCell ref="A132:H132"/>
    <mergeCell ref="A133:H133"/>
    <mergeCell ref="C134:F134"/>
    <mergeCell ref="C135:F135"/>
    <mergeCell ref="C136:F136"/>
    <mergeCell ref="C137:F137"/>
    <mergeCell ref="A126:H126"/>
    <mergeCell ref="C127:F127"/>
    <mergeCell ref="C128:F128"/>
    <mergeCell ref="C129:F129"/>
    <mergeCell ref="C130:F130"/>
    <mergeCell ref="C131:F131"/>
    <mergeCell ref="C120:F120"/>
    <mergeCell ref="C121:F121"/>
    <mergeCell ref="C122:F122"/>
    <mergeCell ref="C123:F123"/>
    <mergeCell ref="C124:F124"/>
    <mergeCell ref="A125:H125"/>
    <mergeCell ref="C114:F114"/>
    <mergeCell ref="C115:F115"/>
    <mergeCell ref="C116:F116"/>
    <mergeCell ref="C117:F117"/>
    <mergeCell ref="A118:H118"/>
    <mergeCell ref="A119:H119"/>
    <mergeCell ref="C108:F108"/>
    <mergeCell ref="A109:H109"/>
    <mergeCell ref="C110:F110"/>
    <mergeCell ref="A111:H111"/>
    <mergeCell ref="A112:H112"/>
    <mergeCell ref="C113:F113"/>
    <mergeCell ref="A102:H102"/>
    <mergeCell ref="C103:F103"/>
    <mergeCell ref="A104:H104"/>
    <mergeCell ref="A105:H105"/>
    <mergeCell ref="C106:F106"/>
    <mergeCell ref="C107:F107"/>
    <mergeCell ref="C96:F96"/>
    <mergeCell ref="A97:H97"/>
    <mergeCell ref="A98:H98"/>
    <mergeCell ref="C99:F99"/>
    <mergeCell ref="C100:F100"/>
    <mergeCell ref="C101:F101"/>
    <mergeCell ref="A90:H90"/>
    <mergeCell ref="A91:H91"/>
    <mergeCell ref="C92:F92"/>
    <mergeCell ref="C93:F93"/>
    <mergeCell ref="C94:F94"/>
    <mergeCell ref="C95:F95"/>
    <mergeCell ref="C84:F84"/>
    <mergeCell ref="C85:F85"/>
    <mergeCell ref="C86:F86"/>
    <mergeCell ref="C87:F87"/>
    <mergeCell ref="A88:F88"/>
    <mergeCell ref="C89:F89"/>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694E4FBB-45FA-47AD-8AA4-DBD379C48D9C}"/>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10" max="7" man="1"/>
    <brk id="139" max="7" man="1"/>
    <brk id="143" max="7" man="1"/>
    <brk id="168" max="7" man="1"/>
    <brk id="186" max="16383" man="1"/>
  </row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DC1A-4111-411E-9911-F1E28F0A7A79}">
  <dimension ref="A1:R173"/>
  <sheetViews>
    <sheetView view="pageBreakPreview" topLeftCell="A133" zoomScale="85" zoomScaleNormal="80" zoomScaleSheetLayoutView="85" workbookViewId="0">
      <selection activeCell="C159" sqref="C159:G159"/>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180</v>
      </c>
    </row>
    <row r="3" spans="1:18" ht="25.15" customHeight="1">
      <c r="A3" s="93" t="s">
        <v>3</v>
      </c>
      <c r="B3" s="93"/>
      <c r="C3" s="94" t="s">
        <v>4</v>
      </c>
      <c r="D3" s="94"/>
      <c r="E3" s="94"/>
      <c r="F3" s="94"/>
      <c r="G3" s="94"/>
      <c r="H3" s="94"/>
    </row>
    <row r="4" spans="1:18" ht="93.75" customHeight="1">
      <c r="A4" s="93" t="s">
        <v>5</v>
      </c>
      <c r="B4" s="93"/>
      <c r="C4" s="97" t="s">
        <v>181</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270</v>
      </c>
    </row>
    <row r="11" spans="1:18" s="2" customFormat="1" ht="21.95" customHeight="1">
      <c r="A11" s="14">
        <f>N11</f>
        <v>466.30500000000001</v>
      </c>
      <c r="B11" s="15" t="s">
        <v>18</v>
      </c>
      <c r="C11" s="76" t="s">
        <v>19</v>
      </c>
      <c r="D11" s="76"/>
      <c r="E11" s="76"/>
      <c r="F11" s="76"/>
      <c r="G11" s="16">
        <f>R10</f>
        <v>270</v>
      </c>
      <c r="H11" s="17">
        <f>G11*A11</f>
        <v>125902.35</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270</v>
      </c>
      <c r="H12" s="17">
        <f>A12*G12</f>
        <v>37212.209999999992</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270</v>
      </c>
      <c r="H13" s="17">
        <f>A13*G13</f>
        <v>17920.035000000003</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183554.595</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270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270</v>
      </c>
      <c r="H22" s="17">
        <f t="shared" si="1"/>
        <v>9253.4399999999987</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9253.4399999999987</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270</v>
      </c>
      <c r="H27" s="17">
        <f>G27*A27</f>
        <v>7711.47</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7711.47</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270</v>
      </c>
      <c r="H32" s="17">
        <f>G32*A32</f>
        <v>13608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13608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214127.505</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270</v>
      </c>
    </row>
    <row r="39" spans="1:18" s="2" customFormat="1" ht="21.95" customHeight="1">
      <c r="A39" s="14">
        <f>N39</f>
        <v>466.30500000000001</v>
      </c>
      <c r="B39" s="15" t="s">
        <v>18</v>
      </c>
      <c r="C39" s="76" t="s">
        <v>19</v>
      </c>
      <c r="D39" s="76"/>
      <c r="E39" s="76"/>
      <c r="F39" s="76"/>
      <c r="G39" s="16">
        <f>R38</f>
        <v>270</v>
      </c>
      <c r="H39" s="17">
        <f>G39*A39</f>
        <v>125902.35</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270</v>
      </c>
      <c r="H40" s="17">
        <f>A40*G40</f>
        <v>37212.209999999992</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270</v>
      </c>
      <c r="H41" s="17">
        <f>A41*G41</f>
        <v>17920.035000000003</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183554.595</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270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270</v>
      </c>
      <c r="H50" s="17">
        <f t="shared" si="9"/>
        <v>9253.4399999999987</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9253.4399999999987</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270</v>
      </c>
      <c r="H55" s="17">
        <f>G55*A55</f>
        <v>7711.47</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7711.47</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200519.505</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270</v>
      </c>
    </row>
    <row r="62" spans="1:18" s="2" customFormat="1" ht="21.95" customHeight="1">
      <c r="A62" s="14">
        <f>N62</f>
        <v>466.30500000000001</v>
      </c>
      <c r="B62" s="15" t="s">
        <v>18</v>
      </c>
      <c r="C62" s="76" t="s">
        <v>19</v>
      </c>
      <c r="D62" s="76"/>
      <c r="E62" s="76"/>
      <c r="F62" s="76"/>
      <c r="G62" s="16">
        <f>R61</f>
        <v>270</v>
      </c>
      <c r="H62" s="17">
        <f>G62*A62</f>
        <v>125902.35</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270</v>
      </c>
      <c r="H63" s="17">
        <f>A63*G63</f>
        <v>37212.209999999992</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270</v>
      </c>
      <c r="H64" s="17">
        <f>A64*G64</f>
        <v>17920.035000000003</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183554.595</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270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270</v>
      </c>
      <c r="H73" s="17">
        <f t="shared" si="15"/>
        <v>9253.4399999999987</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9253.4399999999987</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270</v>
      </c>
      <c r="H78" s="17">
        <f>G78*A78</f>
        <v>7711.47</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7711.47</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200519.505</v>
      </c>
      <c r="K81" s="62"/>
    </row>
    <row r="82" spans="1:18" s="48" customFormat="1">
      <c r="A82" s="100"/>
      <c r="B82" s="101"/>
      <c r="C82" s="101"/>
      <c r="D82" s="101"/>
      <c r="E82" s="101"/>
      <c r="F82" s="101"/>
      <c r="G82" s="101"/>
      <c r="H82" s="102"/>
    </row>
    <row r="83" spans="1:18" s="48" customFormat="1" ht="18">
      <c r="A83" s="74" t="s">
        <v>153</v>
      </c>
      <c r="B83" s="74"/>
      <c r="C83" s="74"/>
      <c r="D83" s="74"/>
      <c r="E83" s="74"/>
      <c r="F83" s="74"/>
      <c r="G83" s="74"/>
      <c r="H83" s="74"/>
      <c r="R83" s="48" t="s">
        <v>9</v>
      </c>
    </row>
    <row r="84" spans="1:18" s="58" customFormat="1" ht="15.75">
      <c r="A84" s="86"/>
      <c r="B84" s="86"/>
      <c r="C84" s="86"/>
      <c r="D84" s="86"/>
      <c r="E84" s="86"/>
      <c r="F84" s="86"/>
      <c r="G84" s="86"/>
      <c r="H84" s="86"/>
      <c r="K84" s="57"/>
      <c r="L84" s="56"/>
      <c r="N84" s="56"/>
    </row>
    <row r="85" spans="1:18" s="48" customFormat="1" ht="29.25" customHeight="1">
      <c r="A85" s="87" t="s">
        <v>132</v>
      </c>
      <c r="B85" s="87"/>
      <c r="C85" s="87"/>
      <c r="D85" s="87"/>
      <c r="E85" s="87"/>
      <c r="F85" s="87"/>
      <c r="G85" s="87"/>
      <c r="H85" s="87"/>
      <c r="J85" s="56"/>
      <c r="K85" s="57"/>
      <c r="L85" s="56"/>
      <c r="N85" s="56"/>
    </row>
    <row r="86" spans="1:18" s="52" customFormat="1" ht="15">
      <c r="A86" s="73" t="s">
        <v>10</v>
      </c>
      <c r="B86" s="50" t="s">
        <v>11</v>
      </c>
      <c r="C86" s="75" t="s">
        <v>12</v>
      </c>
      <c r="D86" s="75"/>
      <c r="E86" s="75"/>
      <c r="F86" s="75"/>
      <c r="G86" s="51" t="s">
        <v>13</v>
      </c>
      <c r="H86" s="51" t="s">
        <v>9</v>
      </c>
      <c r="I86" s="48"/>
      <c r="J86" s="56"/>
      <c r="K86" s="57"/>
      <c r="L86" s="56"/>
      <c r="N86" s="56"/>
    </row>
    <row r="87" spans="1:18" s="56" customFormat="1" ht="21.6" hidden="1" customHeight="1">
      <c r="A87" s="53">
        <v>0</v>
      </c>
      <c r="B87" s="54" t="s">
        <v>18</v>
      </c>
      <c r="C87" s="77" t="s">
        <v>28</v>
      </c>
      <c r="D87" s="78"/>
      <c r="E87" s="78"/>
      <c r="F87" s="79"/>
      <c r="G87" s="55" t="e">
        <f>#REF!</f>
        <v>#REF!</v>
      </c>
      <c r="H87" s="17" t="e">
        <f t="shared" ref="H87:H88" si="20">G87*A87</f>
        <v>#REF!</v>
      </c>
      <c r="I87" s="48"/>
      <c r="J87" s="56">
        <v>12</v>
      </c>
      <c r="K87" s="57">
        <v>0.1</v>
      </c>
      <c r="L87" s="56">
        <f t="shared" ref="L87:L88" si="21">J87*K87</f>
        <v>1.2000000000000002</v>
      </c>
      <c r="N87" s="56">
        <f t="shared" ref="N87:N88" si="22">J87+L87</f>
        <v>13.2</v>
      </c>
    </row>
    <row r="88" spans="1:18" s="56" customFormat="1" ht="21.6" customHeight="1">
      <c r="A88" s="65">
        <f t="shared" ref="A88" si="23">N88</f>
        <v>11.55</v>
      </c>
      <c r="B88" s="54" t="s">
        <v>18</v>
      </c>
      <c r="C88" s="106" t="s">
        <v>30</v>
      </c>
      <c r="D88" s="106"/>
      <c r="E88" s="106"/>
      <c r="F88" s="106"/>
      <c r="G88" s="66">
        <v>270</v>
      </c>
      <c r="H88" s="17">
        <f t="shared" si="20"/>
        <v>3118.5</v>
      </c>
      <c r="I88" s="48"/>
      <c r="J88" s="2">
        <v>10.5</v>
      </c>
      <c r="K88" s="57">
        <v>0.1</v>
      </c>
      <c r="L88" s="56">
        <f t="shared" si="21"/>
        <v>1.05</v>
      </c>
      <c r="N88" s="56">
        <f t="shared" si="22"/>
        <v>11.55</v>
      </c>
    </row>
    <row r="89" spans="1:18" s="58" customFormat="1" ht="15.75">
      <c r="A89" s="19">
        <f>A88</f>
        <v>11.55</v>
      </c>
      <c r="B89" s="20" t="s">
        <v>25</v>
      </c>
      <c r="C89" s="83"/>
      <c r="D89" s="83"/>
      <c r="E89" s="83"/>
      <c r="F89" s="83"/>
      <c r="G89" s="20" t="s">
        <v>26</v>
      </c>
      <c r="H89" s="22">
        <f>H88</f>
        <v>3118.5</v>
      </c>
      <c r="I89" s="48"/>
      <c r="J89" s="56">
        <f>SUM(J87:J88)</f>
        <v>22.5</v>
      </c>
      <c r="K89" s="57"/>
      <c r="L89" s="56"/>
      <c r="M89" s="56"/>
      <c r="N89" s="56"/>
    </row>
    <row r="90" spans="1:18" s="48" customFormat="1">
      <c r="A90" s="100"/>
      <c r="B90" s="101"/>
      <c r="C90" s="101"/>
      <c r="D90" s="101"/>
      <c r="E90" s="101"/>
      <c r="F90" s="101"/>
      <c r="G90" s="101"/>
      <c r="H90" s="102"/>
    </row>
    <row r="91" spans="1:18" s="48" customFormat="1" ht="18">
      <c r="A91" s="74" t="s">
        <v>136</v>
      </c>
      <c r="B91" s="74"/>
      <c r="C91" s="74"/>
      <c r="D91" s="74"/>
      <c r="E91" s="74"/>
      <c r="F91" s="74"/>
      <c r="G91" s="74"/>
      <c r="H91" s="74"/>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2" customFormat="1" ht="30.75" customHeight="1">
      <c r="A93" s="68">
        <f>N93</f>
        <v>43.05</v>
      </c>
      <c r="B93" s="15" t="s">
        <v>18</v>
      </c>
      <c r="C93" s="76" t="s">
        <v>135</v>
      </c>
      <c r="D93" s="76"/>
      <c r="E93" s="76"/>
      <c r="F93" s="76"/>
      <c r="G93" s="16">
        <v>270</v>
      </c>
      <c r="H93" s="17">
        <f>G93*A93</f>
        <v>11623.5</v>
      </c>
      <c r="I93" s="1"/>
      <c r="J93" s="2">
        <v>41</v>
      </c>
      <c r="K93" s="40">
        <v>0.05</v>
      </c>
      <c r="L93" s="2">
        <f t="shared" ref="L93" si="24">J93*K93</f>
        <v>2.0500000000000003</v>
      </c>
      <c r="N93" s="2">
        <f t="shared" ref="N93" si="25">J93+L93</f>
        <v>43.05</v>
      </c>
    </row>
    <row r="94" spans="1:18" s="58" customFormat="1" ht="15.75">
      <c r="A94" s="19">
        <f>SUM(A93:A93)</f>
        <v>43.05</v>
      </c>
      <c r="B94" s="20" t="s">
        <v>25</v>
      </c>
      <c r="C94" s="83"/>
      <c r="D94" s="83"/>
      <c r="E94" s="83"/>
      <c r="F94" s="83"/>
      <c r="G94" s="20" t="s">
        <v>26</v>
      </c>
      <c r="H94" s="22">
        <f>H93</f>
        <v>11623.5</v>
      </c>
      <c r="I94" s="48"/>
      <c r="J94" s="56" t="e">
        <f>J93+#REF!+#REF!+#REF!+#REF!+#REF!+#REF!+#REF!+#REF!+#REF!+#REF!+#REF!</f>
        <v>#REF!</v>
      </c>
      <c r="K94" s="57"/>
      <c r="L94" s="56"/>
      <c r="M94" s="56"/>
      <c r="N94" s="56"/>
    </row>
    <row r="95" spans="1:18" s="48" customFormat="1">
      <c r="A95" s="100"/>
      <c r="B95" s="101"/>
      <c r="C95" s="101"/>
      <c r="D95" s="101"/>
      <c r="E95" s="101"/>
      <c r="F95" s="101"/>
      <c r="G95" s="101"/>
      <c r="H95" s="102"/>
    </row>
    <row r="96" spans="1:18" s="48" customFormat="1" ht="18.75" customHeight="1">
      <c r="A96" s="60">
        <f>A89+A94</f>
        <v>54.599999999999994</v>
      </c>
      <c r="B96" s="71" t="s">
        <v>25</v>
      </c>
      <c r="C96" s="107" t="s">
        <v>134</v>
      </c>
      <c r="D96" s="107"/>
      <c r="E96" s="107"/>
      <c r="F96" s="107"/>
      <c r="G96" s="71" t="s">
        <v>26</v>
      </c>
      <c r="H96" s="61">
        <f>H94+H89</f>
        <v>14742</v>
      </c>
      <c r="K96" s="62"/>
    </row>
    <row r="97" spans="1:15" s="48" customFormat="1" ht="15.75" customHeight="1">
      <c r="A97" s="100"/>
      <c r="B97" s="101"/>
      <c r="C97" s="101"/>
      <c r="D97" s="101"/>
      <c r="E97" s="101"/>
      <c r="F97" s="101"/>
      <c r="G97" s="101"/>
      <c r="H97" s="102"/>
    </row>
    <row r="98" spans="1:15" s="48" customFormat="1" ht="18" hidden="1">
      <c r="A98" s="74" t="s">
        <v>33</v>
      </c>
      <c r="B98" s="74"/>
      <c r="C98" s="74"/>
      <c r="D98" s="74"/>
      <c r="E98" s="74"/>
      <c r="F98" s="74"/>
      <c r="G98" s="74"/>
      <c r="H98" s="74"/>
      <c r="J98" s="56"/>
      <c r="K98" s="57"/>
      <c r="L98" s="56">
        <v>90</v>
      </c>
      <c r="M98" s="48" t="e">
        <f>#REF!/L98</f>
        <v>#REF!</v>
      </c>
      <c r="N98" s="56">
        <v>30</v>
      </c>
      <c r="O98" s="48" t="e">
        <f>N98*M98</f>
        <v>#REF!</v>
      </c>
    </row>
    <row r="99" spans="1:15" s="52" customFormat="1" ht="15" hidden="1">
      <c r="A99" s="73" t="s">
        <v>10</v>
      </c>
      <c r="B99" s="50" t="s">
        <v>11</v>
      </c>
      <c r="C99" s="75" t="s">
        <v>12</v>
      </c>
      <c r="D99" s="75"/>
      <c r="E99" s="75"/>
      <c r="F99" s="75"/>
      <c r="G99" s="51" t="s">
        <v>13</v>
      </c>
      <c r="H99" s="51" t="s">
        <v>9</v>
      </c>
      <c r="I99" s="48"/>
      <c r="J99" s="56"/>
      <c r="K99" s="57"/>
      <c r="L99" s="56"/>
      <c r="N99" s="56"/>
    </row>
    <row r="100" spans="1:15" s="2" customFormat="1" ht="22.5" hidden="1" customHeight="1">
      <c r="A100" s="68">
        <v>0</v>
      </c>
      <c r="B100" s="15" t="s">
        <v>18</v>
      </c>
      <c r="C100" s="76" t="s">
        <v>34</v>
      </c>
      <c r="D100" s="76"/>
      <c r="E100" s="76"/>
      <c r="F100" s="76"/>
      <c r="G100" s="16" t="e">
        <f>#REF!</f>
        <v>#REF!</v>
      </c>
      <c r="H100" s="17" t="e">
        <f>G100*A100</f>
        <v>#REF!</v>
      </c>
      <c r="I100" s="1"/>
      <c r="J100" s="2">
        <v>25.55</v>
      </c>
      <c r="K100" s="40">
        <v>0.05</v>
      </c>
      <c r="L100" s="2">
        <f t="shared" ref="L100" si="26">J100*K100</f>
        <v>1.2775000000000001</v>
      </c>
      <c r="N100" s="2">
        <f t="shared" ref="N100" si="27">J100+L100</f>
        <v>26.827500000000001</v>
      </c>
    </row>
    <row r="101" spans="1:15" s="58" customFormat="1" ht="15.75" hidden="1">
      <c r="A101" s="19">
        <f>SUM(A100:A100)</f>
        <v>0</v>
      </c>
      <c r="B101" s="20" t="s">
        <v>25</v>
      </c>
      <c r="C101" s="83"/>
      <c r="D101" s="83"/>
      <c r="E101" s="83"/>
      <c r="F101" s="83"/>
      <c r="G101" s="20" t="s">
        <v>26</v>
      </c>
      <c r="H101" s="22" t="e">
        <f>H100</f>
        <v>#REF!</v>
      </c>
      <c r="I101" s="48"/>
      <c r="J101" s="56" t="e">
        <f>J100+#REF!+#REF!+#REF!+#REF!+J26+#REF!+J24+J23+J17+J16+J15</f>
        <v>#REF!</v>
      </c>
      <c r="K101" s="57"/>
      <c r="L101" s="56"/>
      <c r="M101" s="56"/>
      <c r="N101" s="56"/>
    </row>
    <row r="102" spans="1:15" s="48" customFormat="1" ht="15.75" hidden="1" customHeight="1">
      <c r="A102" s="100"/>
      <c r="B102" s="101"/>
      <c r="C102" s="101"/>
      <c r="D102" s="101"/>
      <c r="E102" s="101"/>
      <c r="F102" s="101"/>
      <c r="G102" s="101"/>
      <c r="H102" s="102"/>
    </row>
    <row r="103" spans="1:15" s="48" customFormat="1" ht="21.75" customHeight="1">
      <c r="A103" s="60">
        <f>A96+A81+A58+A35</f>
        <v>2304.9944999999998</v>
      </c>
      <c r="B103" s="71" t="s">
        <v>25</v>
      </c>
      <c r="C103" s="107" t="s">
        <v>92</v>
      </c>
      <c r="D103" s="107"/>
      <c r="E103" s="107"/>
      <c r="F103" s="107"/>
      <c r="G103" s="71" t="s">
        <v>26</v>
      </c>
      <c r="H103" s="61">
        <f>H96+H81+H58+H35</f>
        <v>629908.51500000001</v>
      </c>
      <c r="K103" s="62"/>
    </row>
    <row r="104" spans="1:15" s="48" customFormat="1" ht="16.5" customHeight="1">
      <c r="A104" s="108"/>
      <c r="B104" s="108"/>
      <c r="C104" s="108"/>
      <c r="D104" s="108"/>
      <c r="E104" s="108"/>
      <c r="F104" s="108"/>
      <c r="G104" s="108"/>
      <c r="H104" s="108"/>
    </row>
    <row r="105" spans="1:15" s="1" customFormat="1" ht="18">
      <c r="A105" s="109" t="s">
        <v>36</v>
      </c>
      <c r="B105" s="109"/>
      <c r="C105" s="109"/>
      <c r="D105" s="109"/>
      <c r="E105" s="109"/>
      <c r="F105" s="109"/>
      <c r="G105" s="109"/>
      <c r="H105" s="109"/>
    </row>
    <row r="106" spans="1:15" s="1" customFormat="1" ht="15">
      <c r="A106" s="72" t="s">
        <v>10</v>
      </c>
      <c r="B106" s="12" t="s">
        <v>11</v>
      </c>
      <c r="C106" s="110" t="s">
        <v>37</v>
      </c>
      <c r="D106" s="110"/>
      <c r="E106" s="110"/>
      <c r="F106" s="110"/>
      <c r="G106" s="13" t="s">
        <v>13</v>
      </c>
      <c r="H106" s="13" t="s">
        <v>9</v>
      </c>
      <c r="J106" s="1">
        <v>1700</v>
      </c>
      <c r="K106" s="1">
        <f>J106/A108</f>
        <v>22.666666666666668</v>
      </c>
    </row>
    <row r="107" spans="1:15" s="1" customFormat="1" ht="53.1" customHeight="1">
      <c r="A107" s="23">
        <v>110</v>
      </c>
      <c r="B107" s="23" t="s">
        <v>22</v>
      </c>
      <c r="C107" s="128" t="s">
        <v>89</v>
      </c>
      <c r="D107" s="129"/>
      <c r="E107" s="129"/>
      <c r="F107" s="130"/>
      <c r="G107" s="24">
        <v>120</v>
      </c>
      <c r="H107" s="25">
        <f>A107*G107</f>
        <v>13200</v>
      </c>
    </row>
    <row r="108" spans="1:15" s="1" customFormat="1" ht="38.450000000000003" customHeight="1">
      <c r="A108" s="23">
        <v>75</v>
      </c>
      <c r="B108" s="23" t="s">
        <v>22</v>
      </c>
      <c r="C108" s="131" t="s">
        <v>90</v>
      </c>
      <c r="D108" s="131"/>
      <c r="E108" s="131"/>
      <c r="F108" s="131"/>
      <c r="G108" s="24">
        <v>60</v>
      </c>
      <c r="H108" s="25">
        <f>A108*G108</f>
        <v>4500</v>
      </c>
      <c r="J108"/>
      <c r="L108"/>
    </row>
    <row r="109" spans="1:15" s="1" customFormat="1" ht="42.95" customHeight="1">
      <c r="A109" s="15">
        <v>1</v>
      </c>
      <c r="B109" s="15" t="s">
        <v>40</v>
      </c>
      <c r="C109" s="132" t="s">
        <v>41</v>
      </c>
      <c r="D109" s="133"/>
      <c r="E109" s="133"/>
      <c r="F109" s="133"/>
      <c r="G109" s="24">
        <v>9000</v>
      </c>
      <c r="H109" s="25">
        <f>A109*G109</f>
        <v>9000</v>
      </c>
      <c r="J109"/>
      <c r="L109"/>
    </row>
    <row r="110" spans="1:15" s="48" customFormat="1" ht="15.75">
      <c r="A110" s="71"/>
      <c r="B110" s="71" t="s">
        <v>17</v>
      </c>
      <c r="C110" s="107" t="s">
        <v>93</v>
      </c>
      <c r="D110" s="107"/>
      <c r="E110" s="107"/>
      <c r="F110" s="107"/>
      <c r="G110" s="27" t="s">
        <v>43</v>
      </c>
      <c r="H110" s="28">
        <f>H107+H108+H109</f>
        <v>26700</v>
      </c>
    </row>
    <row r="111" spans="1:15" s="48" customFormat="1">
      <c r="A111" s="108"/>
      <c r="B111" s="108"/>
      <c r="C111" s="108"/>
      <c r="D111" s="108"/>
      <c r="E111" s="108"/>
      <c r="F111" s="108"/>
      <c r="G111" s="108"/>
      <c r="H111" s="108"/>
      <c r="J111" s="48" t="e">
        <f>#REF!-#REF!-#REF!</f>
        <v>#REF!</v>
      </c>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89</v>
      </c>
      <c r="D114" s="129"/>
      <c r="E114" s="129"/>
      <c r="F114" s="130"/>
      <c r="G114" s="24">
        <v>120</v>
      </c>
      <c r="H114" s="25">
        <f>A114*G114</f>
        <v>13200</v>
      </c>
    </row>
    <row r="115" spans="1:12" s="1" customFormat="1" ht="38.450000000000003" customHeight="1">
      <c r="A115" s="23">
        <v>75</v>
      </c>
      <c r="B115" s="23" t="s">
        <v>22</v>
      </c>
      <c r="C115" s="131" t="s">
        <v>90</v>
      </c>
      <c r="D115" s="131"/>
      <c r="E115" s="131"/>
      <c r="F115" s="131"/>
      <c r="G115" s="24">
        <v>60</v>
      </c>
      <c r="H115" s="25">
        <f>A115*G115</f>
        <v>4500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137</v>
      </c>
      <c r="D117" s="107"/>
      <c r="E117" s="107"/>
      <c r="F117" s="107"/>
      <c r="G117" s="27" t="s">
        <v>43</v>
      </c>
      <c r="H117" s="28">
        <f>H114+H115+H116</f>
        <v>26700</v>
      </c>
    </row>
    <row r="118" spans="1:12" s="48" customFormat="1">
      <c r="A118" s="100"/>
      <c r="B118" s="101"/>
      <c r="C118" s="101"/>
      <c r="D118" s="101"/>
      <c r="E118" s="101"/>
      <c r="F118" s="101"/>
      <c r="G118" s="101"/>
      <c r="H118" s="102"/>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89</v>
      </c>
      <c r="D121" s="129"/>
      <c r="E121" s="129"/>
      <c r="F121" s="130"/>
      <c r="G121" s="24">
        <v>120</v>
      </c>
      <c r="H121" s="25">
        <f>A121*G121</f>
        <v>13200</v>
      </c>
    </row>
    <row r="122" spans="1:12" s="1" customFormat="1" ht="38.450000000000003" customHeight="1">
      <c r="A122" s="23">
        <v>75</v>
      </c>
      <c r="B122" s="23" t="s">
        <v>22</v>
      </c>
      <c r="C122" s="131" t="s">
        <v>90</v>
      </c>
      <c r="D122" s="131"/>
      <c r="E122" s="131"/>
      <c r="F122" s="131"/>
      <c r="G122" s="24">
        <v>60</v>
      </c>
      <c r="H122" s="25">
        <f>A122*G122</f>
        <v>4500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138</v>
      </c>
      <c r="D124" s="107"/>
      <c r="E124" s="107"/>
      <c r="F124" s="107"/>
      <c r="G124" s="27" t="s">
        <v>43</v>
      </c>
      <c r="H124" s="28">
        <f>H121+H122+H123</f>
        <v>26700</v>
      </c>
    </row>
    <row r="125" spans="1:12" s="48" customFormat="1">
      <c r="A125" s="100"/>
      <c r="B125" s="101"/>
      <c r="C125" s="101"/>
      <c r="D125" s="101"/>
      <c r="E125" s="101"/>
      <c r="F125" s="101"/>
      <c r="G125" s="101"/>
      <c r="H125" s="102"/>
    </row>
    <row r="126" spans="1:12" s="48" customFormat="1" ht="21.75" customHeight="1">
      <c r="A126" s="60"/>
      <c r="B126" s="71"/>
      <c r="C126" s="107" t="s">
        <v>95</v>
      </c>
      <c r="D126" s="107"/>
      <c r="E126" s="107"/>
      <c r="F126" s="107"/>
      <c r="G126" s="71" t="s">
        <v>26</v>
      </c>
      <c r="H126" s="61">
        <f>H124+H117+H110</f>
        <v>80100</v>
      </c>
      <c r="K126" s="62"/>
    </row>
    <row r="127" spans="1:12" s="48" customFormat="1">
      <c r="A127" s="100"/>
      <c r="B127" s="101"/>
      <c r="C127" s="101"/>
      <c r="D127" s="101"/>
      <c r="E127" s="101"/>
      <c r="F127" s="101"/>
      <c r="G127" s="101"/>
      <c r="H127" s="102"/>
    </row>
    <row r="128" spans="1:12" s="48" customFormat="1" ht="15" customHeight="1">
      <c r="A128" s="111" t="s">
        <v>44</v>
      </c>
      <c r="B128" s="111"/>
      <c r="C128" s="111"/>
      <c r="D128" s="111"/>
      <c r="E128" s="111"/>
      <c r="F128" s="111"/>
      <c r="G128" s="111"/>
      <c r="H128" s="111"/>
    </row>
    <row r="129" spans="1:15" s="48" customFormat="1" ht="388.5" customHeight="1">
      <c r="A129" s="112"/>
      <c r="B129" s="113"/>
      <c r="C129" s="113"/>
      <c r="D129" s="113"/>
      <c r="E129" s="113"/>
      <c r="F129" s="113"/>
      <c r="G129" s="113"/>
      <c r="H129" s="114"/>
      <c r="J129" s="63"/>
    </row>
    <row r="130" spans="1:15" s="48" customFormat="1" ht="41.25" customHeight="1">
      <c r="A130" s="115"/>
      <c r="B130" s="116"/>
      <c r="C130" s="116"/>
      <c r="D130" s="116"/>
      <c r="E130" s="116"/>
      <c r="F130" s="116"/>
      <c r="G130" s="116"/>
      <c r="H130" s="117"/>
    </row>
    <row r="131" spans="1:15" ht="28.15" customHeight="1">
      <c r="A131" s="118" t="s">
        <v>45</v>
      </c>
      <c r="B131" s="119"/>
      <c r="C131" s="119"/>
      <c r="D131" s="119"/>
      <c r="E131" s="119"/>
      <c r="F131" s="120"/>
      <c r="G131" s="29" t="s">
        <v>43</v>
      </c>
      <c r="H131" s="30">
        <f>H103+H126</f>
        <v>710008.51500000001</v>
      </c>
      <c r="J131" s="41"/>
    </row>
    <row r="132" spans="1:15" ht="28.15" hidden="1" customHeight="1">
      <c r="A132" s="121"/>
      <c r="B132" s="122"/>
      <c r="C132" s="122"/>
      <c r="D132" s="122"/>
      <c r="E132" s="122"/>
      <c r="F132" s="123"/>
      <c r="G132" s="29" t="s">
        <v>46</v>
      </c>
      <c r="H132" s="30">
        <v>0</v>
      </c>
      <c r="J132" s="42"/>
    </row>
    <row r="133" spans="1:15" ht="23.25" customHeight="1">
      <c r="A133" s="124"/>
      <c r="B133" s="125"/>
      <c r="C133" s="125"/>
      <c r="D133" s="125"/>
      <c r="E133" s="125"/>
      <c r="F133" s="126"/>
      <c r="G133" s="31" t="s">
        <v>47</v>
      </c>
      <c r="H133" s="32">
        <f>H131-H132</f>
        <v>710008.51500000001</v>
      </c>
      <c r="J133" s="42"/>
    </row>
    <row r="134" spans="1:15" ht="21.95" customHeight="1">
      <c r="A134" s="74" t="s">
        <v>48</v>
      </c>
      <c r="B134" s="74"/>
      <c r="C134" s="127" t="s">
        <v>183</v>
      </c>
      <c r="D134" s="127"/>
      <c r="E134" s="127"/>
      <c r="F134" s="127"/>
      <c r="G134" s="33" t="s">
        <v>49</v>
      </c>
      <c r="H134" s="34">
        <f>9000*3.5</f>
        <v>31500</v>
      </c>
      <c r="I134" s="4">
        <v>9</v>
      </c>
      <c r="J134" s="43"/>
    </row>
    <row r="135" spans="1:15" ht="21.95" customHeight="1">
      <c r="A135" s="74"/>
      <c r="B135" s="74"/>
      <c r="C135" s="127"/>
      <c r="D135" s="127"/>
      <c r="E135" s="127"/>
      <c r="F135" s="127"/>
      <c r="G135" s="31" t="s">
        <v>50</v>
      </c>
      <c r="H135" s="30">
        <f>H133+H134</f>
        <v>741508.51500000001</v>
      </c>
      <c r="J135" s="42"/>
    </row>
    <row r="136" spans="1:15" ht="21.95" customHeight="1">
      <c r="A136" s="74"/>
      <c r="B136" s="74"/>
      <c r="C136" s="127"/>
      <c r="D136" s="127"/>
      <c r="E136" s="127"/>
      <c r="F136" s="127"/>
      <c r="G136" s="33" t="s">
        <v>51</v>
      </c>
      <c r="H136" s="34">
        <f>H135*0.16</f>
        <v>118641.3624</v>
      </c>
      <c r="J136" s="43">
        <v>19</v>
      </c>
      <c r="K136" s="4">
        <f>H131*J136</f>
        <v>13490161.785</v>
      </c>
      <c r="O136" s="44">
        <f>H137*4</f>
        <v>3440599.5096</v>
      </c>
    </row>
    <row r="137" spans="1:15" ht="21.95" customHeight="1">
      <c r="A137" s="74"/>
      <c r="B137" s="74"/>
      <c r="C137" s="127"/>
      <c r="D137" s="127"/>
      <c r="E137" s="127"/>
      <c r="F137" s="127"/>
      <c r="G137" s="35" t="s">
        <v>52</v>
      </c>
      <c r="H137" s="36">
        <f>H135+H136</f>
        <v>860149.8774</v>
      </c>
      <c r="I137" s="44">
        <f>H137/A103</f>
        <v>373.16786543308456</v>
      </c>
      <c r="J137" s="45"/>
    </row>
    <row r="138" spans="1:15">
      <c r="A138" s="88"/>
      <c r="B138" s="88"/>
      <c r="C138" s="88"/>
      <c r="D138" s="88"/>
      <c r="E138" s="88"/>
      <c r="F138" s="88"/>
      <c r="G138" s="88"/>
      <c r="H138" s="88"/>
    </row>
    <row r="139" spans="1:15" ht="31.15" customHeight="1">
      <c r="A139" s="74" t="s">
        <v>53</v>
      </c>
      <c r="B139" s="74"/>
      <c r="C139" s="74"/>
      <c r="D139" s="74"/>
      <c r="E139" s="74"/>
      <c r="F139" s="74"/>
      <c r="G139" s="74"/>
      <c r="H139" s="74"/>
      <c r="J139" s="44"/>
    </row>
    <row r="140" spans="1:15" ht="12" customHeight="1">
      <c r="A140" s="134"/>
      <c r="B140" s="134"/>
      <c r="C140" s="134"/>
      <c r="D140" s="134"/>
      <c r="E140" s="134"/>
      <c r="F140" s="134"/>
      <c r="G140" s="134"/>
      <c r="H140" s="134"/>
      <c r="K140" s="44">
        <f>H133*12</f>
        <v>8520102.1799999997</v>
      </c>
    </row>
    <row r="141" spans="1:15" ht="30.75" customHeight="1" thickBot="1">
      <c r="A141" s="135" t="s">
        <v>54</v>
      </c>
      <c r="B141" s="135"/>
      <c r="C141" s="136" t="s">
        <v>55</v>
      </c>
      <c r="D141" s="136"/>
      <c r="E141" s="136"/>
      <c r="F141" s="136"/>
      <c r="G141" s="137" t="s">
        <v>56</v>
      </c>
      <c r="H141" s="137"/>
    </row>
    <row r="142" spans="1:15" ht="19.899999999999999" customHeight="1" thickBot="1">
      <c r="A142" s="138" t="s">
        <v>57</v>
      </c>
      <c r="B142" s="138"/>
      <c r="C142" s="136" t="s">
        <v>58</v>
      </c>
      <c r="D142" s="136"/>
      <c r="E142" s="136"/>
      <c r="F142" s="136"/>
      <c r="G142" s="139"/>
      <c r="H142" s="140"/>
      <c r="K142" s="64">
        <f>H137*3</f>
        <v>2580449.6321999999</v>
      </c>
    </row>
    <row r="143" spans="1:15" ht="27.6" customHeight="1">
      <c r="A143" s="142" t="s">
        <v>59</v>
      </c>
      <c r="B143" s="143"/>
      <c r="C143" s="37" t="s">
        <v>60</v>
      </c>
      <c r="D143" s="148">
        <f>H137*0.6</f>
        <v>516089.92643999995</v>
      </c>
      <c r="E143" s="148"/>
      <c r="F143" s="148"/>
      <c r="G143" s="149"/>
      <c r="H143" s="150"/>
    </row>
    <row r="144" spans="1:15" ht="33" customHeight="1">
      <c r="A144" s="144"/>
      <c r="B144" s="145"/>
      <c r="C144" s="37" t="s">
        <v>98</v>
      </c>
      <c r="D144" s="141">
        <f>H137*0.3</f>
        <v>258044.96321999998</v>
      </c>
      <c r="E144" s="141"/>
      <c r="F144" s="141"/>
      <c r="G144" s="151"/>
      <c r="H144" s="152"/>
      <c r="J144" s="44">
        <f>H137-'[1]CTZ 8T (altura 270.7)'!H66</f>
        <v>621848.52201279998</v>
      </c>
    </row>
    <row r="145" spans="1:13" ht="39" customHeight="1">
      <c r="A145" s="144"/>
      <c r="B145" s="145"/>
      <c r="C145" s="37" t="s">
        <v>99</v>
      </c>
      <c r="D145" s="141">
        <f>H137*0.1</f>
        <v>86014.987740000011</v>
      </c>
      <c r="E145" s="141"/>
      <c r="F145" s="141"/>
      <c r="G145" s="151"/>
      <c r="H145" s="152"/>
      <c r="J145" s="44"/>
    </row>
    <row r="146" spans="1:13" ht="28.5" customHeight="1">
      <c r="A146" s="144"/>
      <c r="B146" s="145"/>
      <c r="C146" s="155" t="s">
        <v>61</v>
      </c>
      <c r="D146" s="157">
        <f>D143+D144+D145</f>
        <v>860149.87739999988</v>
      </c>
      <c r="E146" s="158"/>
      <c r="F146" s="159"/>
      <c r="G146" s="153"/>
      <c r="H146" s="154"/>
      <c r="J146" s="46"/>
      <c r="M146" s="46">
        <f>D143*8</f>
        <v>4128719.4115199996</v>
      </c>
    </row>
    <row r="147" spans="1:13" ht="5.45" hidden="1" customHeight="1">
      <c r="A147" s="146"/>
      <c r="B147" s="147"/>
      <c r="C147" s="156"/>
      <c r="D147" s="160"/>
      <c r="E147" s="161"/>
      <c r="F147" s="162"/>
      <c r="G147" s="163" t="s">
        <v>62</v>
      </c>
      <c r="H147" s="164"/>
    </row>
    <row r="148" spans="1:13" ht="24.95" customHeight="1">
      <c r="A148" s="172" t="s">
        <v>63</v>
      </c>
      <c r="B148" s="173"/>
      <c r="C148" s="38" t="s">
        <v>100</v>
      </c>
      <c r="D148" s="167"/>
      <c r="E148" s="168"/>
      <c r="F148" s="169"/>
      <c r="G148" s="165" t="s">
        <v>155</v>
      </c>
      <c r="H148" s="166"/>
      <c r="J148" s="38">
        <v>75</v>
      </c>
    </row>
    <row r="149" spans="1:13" ht="24.95" customHeight="1">
      <c r="A149" s="174"/>
      <c r="B149" s="175"/>
      <c r="C149" s="38" t="s">
        <v>101</v>
      </c>
      <c r="D149" s="167"/>
      <c r="E149" s="168"/>
      <c r="F149" s="169"/>
      <c r="G149" s="165" t="s">
        <v>103</v>
      </c>
      <c r="H149" s="166"/>
      <c r="J149" s="38">
        <v>120</v>
      </c>
      <c r="L149" s="46"/>
    </row>
    <row r="150" spans="1:13" ht="33" customHeight="1">
      <c r="A150" s="174"/>
      <c r="B150" s="175"/>
      <c r="C150" s="38" t="s">
        <v>102</v>
      </c>
      <c r="D150" s="167"/>
      <c r="E150" s="168"/>
      <c r="F150" s="169"/>
      <c r="G150" s="191" t="s">
        <v>158</v>
      </c>
      <c r="H150" s="192"/>
      <c r="J150" s="38">
        <f t="shared" ref="J150" si="28">J149+15</f>
        <v>135</v>
      </c>
      <c r="L150" s="46"/>
    </row>
    <row r="151" spans="1:13" ht="24.95" hidden="1" customHeight="1">
      <c r="A151" s="174"/>
      <c r="B151" s="175"/>
      <c r="C151" s="38" t="s">
        <v>70</v>
      </c>
      <c r="D151" s="167"/>
      <c r="E151" s="168"/>
      <c r="F151" s="169"/>
      <c r="G151" s="165" t="s">
        <v>157</v>
      </c>
      <c r="H151" s="166"/>
      <c r="J151" s="38">
        <f>J150+15</f>
        <v>150</v>
      </c>
    </row>
    <row r="152" spans="1:13" ht="24.95" hidden="1" customHeight="1">
      <c r="A152" s="174"/>
      <c r="B152" s="175"/>
      <c r="C152" s="38" t="s">
        <v>70</v>
      </c>
      <c r="D152" s="167">
        <f>H137*2</f>
        <v>1720299.7548</v>
      </c>
      <c r="E152" s="168"/>
      <c r="F152" s="169"/>
      <c r="G152" s="165" t="s">
        <v>71</v>
      </c>
      <c r="H152" s="166"/>
      <c r="J152" s="47"/>
    </row>
    <row r="153" spans="1:13" ht="24.95" hidden="1" customHeight="1">
      <c r="A153" s="174"/>
      <c r="B153" s="175"/>
      <c r="C153" s="38" t="s">
        <v>72</v>
      </c>
      <c r="D153" s="167">
        <f>H137*2</f>
        <v>1720299.7548</v>
      </c>
      <c r="E153" s="168"/>
      <c r="F153" s="169"/>
      <c r="G153" s="165" t="s">
        <v>71</v>
      </c>
      <c r="H153" s="166"/>
      <c r="J153" s="47"/>
    </row>
    <row r="154" spans="1:13" ht="24.95" hidden="1" customHeight="1">
      <c r="A154" s="176"/>
      <c r="B154" s="177"/>
      <c r="C154" s="38" t="s">
        <v>73</v>
      </c>
      <c r="D154" s="167">
        <f>H137*3</f>
        <v>2580449.6321999999</v>
      </c>
      <c r="E154" s="168"/>
      <c r="F154" s="169"/>
      <c r="G154" s="165" t="s">
        <v>74</v>
      </c>
      <c r="H154" s="166"/>
      <c r="J154" s="47"/>
    </row>
    <row r="155" spans="1:13" ht="19.149999999999999" customHeight="1">
      <c r="A155" s="135" t="s">
        <v>75</v>
      </c>
      <c r="B155" s="135"/>
      <c r="C155" s="170" t="s">
        <v>76</v>
      </c>
      <c r="D155" s="170"/>
      <c r="E155" s="170"/>
      <c r="F155" s="170"/>
      <c r="G155" s="91"/>
      <c r="H155" s="171"/>
      <c r="J155" s="46">
        <f>SUM(D149:F151)</f>
        <v>0</v>
      </c>
    </row>
    <row r="156" spans="1:13" ht="10.15" customHeight="1">
      <c r="A156" s="88"/>
      <c r="B156" s="88"/>
      <c r="C156" s="88"/>
      <c r="D156" s="88"/>
      <c r="E156" s="88"/>
      <c r="F156" s="88"/>
      <c r="G156" s="189"/>
      <c r="H156" s="189"/>
      <c r="J156" s="46"/>
      <c r="K156" s="46"/>
    </row>
    <row r="157" spans="1:13" ht="117" customHeight="1">
      <c r="A157" s="137" t="s">
        <v>77</v>
      </c>
      <c r="B157" s="137"/>
      <c r="C157" s="190" t="s">
        <v>182</v>
      </c>
      <c r="D157" s="190"/>
      <c r="E157" s="190"/>
      <c r="F157" s="190"/>
      <c r="G157" s="190"/>
      <c r="H157" s="39"/>
      <c r="J157" s="46"/>
    </row>
    <row r="158" spans="1:13" ht="27" customHeight="1">
      <c r="A158" s="137"/>
      <c r="B158" s="137"/>
      <c r="C158" s="190" t="s">
        <v>78</v>
      </c>
      <c r="D158" s="190"/>
      <c r="E158" s="190"/>
      <c r="F158" s="190"/>
      <c r="G158" s="190"/>
      <c r="H158" s="39"/>
    </row>
    <row r="159" spans="1:13" ht="67.150000000000006" customHeight="1">
      <c r="A159" s="137"/>
      <c r="B159" s="137"/>
      <c r="C159" s="190" t="s">
        <v>96</v>
      </c>
      <c r="D159" s="190"/>
      <c r="E159" s="190"/>
      <c r="F159" s="190"/>
      <c r="G159" s="190"/>
      <c r="H159" s="39"/>
    </row>
    <row r="160" spans="1:13" ht="54" customHeight="1">
      <c r="A160" s="137"/>
      <c r="B160" s="137"/>
      <c r="C160" s="190" t="s">
        <v>80</v>
      </c>
      <c r="D160" s="190"/>
      <c r="E160" s="190"/>
      <c r="F160" s="190"/>
      <c r="G160" s="190"/>
      <c r="H160" s="39"/>
    </row>
    <row r="161" spans="1:8" ht="150.75" hidden="1" customHeight="1">
      <c r="A161" s="137"/>
      <c r="B161" s="137"/>
      <c r="C161" s="181" t="s">
        <v>81</v>
      </c>
      <c r="D161" s="182"/>
      <c r="E161" s="182"/>
      <c r="F161" s="182"/>
      <c r="G161" s="183"/>
      <c r="H161" s="39"/>
    </row>
    <row r="162" spans="1:8" ht="30" customHeight="1">
      <c r="A162" s="137"/>
      <c r="B162" s="137"/>
      <c r="C162" s="190" t="s">
        <v>82</v>
      </c>
      <c r="D162" s="190"/>
      <c r="E162" s="190"/>
      <c r="F162" s="190"/>
      <c r="G162" s="190"/>
      <c r="H162" s="39"/>
    </row>
    <row r="163" spans="1:8" ht="51" customHeight="1">
      <c r="A163" s="137"/>
      <c r="B163" s="137"/>
      <c r="C163" s="190" t="s">
        <v>83</v>
      </c>
      <c r="D163" s="190"/>
      <c r="E163" s="190"/>
      <c r="F163" s="190"/>
      <c r="G163" s="190"/>
      <c r="H163" s="39"/>
    </row>
    <row r="164" spans="1:8" ht="64.5" hidden="1" customHeight="1">
      <c r="A164" s="137"/>
      <c r="B164" s="137"/>
      <c r="C164" s="181" t="s">
        <v>84</v>
      </c>
      <c r="D164" s="182"/>
      <c r="E164" s="182"/>
      <c r="F164" s="182"/>
      <c r="G164" s="183"/>
      <c r="H164" s="39"/>
    </row>
    <row r="165" spans="1:8" ht="103.5" customHeight="1">
      <c r="A165" s="137"/>
      <c r="B165" s="137"/>
      <c r="C165" s="184" t="s">
        <v>85</v>
      </c>
      <c r="D165" s="184"/>
      <c r="E165" s="184"/>
      <c r="F165" s="184"/>
      <c r="G165" s="184"/>
      <c r="H165" s="39"/>
    </row>
    <row r="166" spans="1:8" ht="24.95" customHeight="1">
      <c r="A166" s="137"/>
      <c r="B166" s="137"/>
      <c r="C166" s="184" t="s">
        <v>86</v>
      </c>
      <c r="D166" s="184"/>
      <c r="E166" s="184"/>
      <c r="F166" s="184"/>
      <c r="G166" s="184"/>
      <c r="H166" s="39"/>
    </row>
    <row r="167" spans="1:8" ht="7.9" customHeight="1">
      <c r="A167" s="185"/>
      <c r="B167" s="185"/>
      <c r="C167" s="185"/>
      <c r="D167" s="185"/>
      <c r="E167" s="185"/>
      <c r="F167" s="185"/>
      <c r="G167" s="185"/>
      <c r="H167" s="185"/>
    </row>
    <row r="168" spans="1:8" ht="30" customHeight="1">
      <c r="A168" s="185"/>
      <c r="B168" s="185"/>
      <c r="C168" s="185"/>
      <c r="D168" s="185"/>
      <c r="E168" s="185"/>
      <c r="F168" s="185"/>
      <c r="G168" s="185"/>
      <c r="H168" s="185"/>
    </row>
    <row r="169" spans="1:8" ht="30" customHeight="1">
      <c r="A169" s="185"/>
      <c r="B169" s="185"/>
      <c r="C169" s="185"/>
      <c r="D169" s="185"/>
      <c r="E169" s="185"/>
      <c r="F169" s="185"/>
      <c r="G169" s="185"/>
      <c r="H169" s="185"/>
    </row>
    <row r="170" spans="1:8" ht="24" customHeight="1">
      <c r="A170" s="185"/>
      <c r="B170" s="185"/>
      <c r="C170" s="185"/>
      <c r="D170" s="185"/>
      <c r="E170" s="185"/>
      <c r="F170" s="185"/>
      <c r="G170" s="185"/>
      <c r="H170" s="185"/>
    </row>
    <row r="171" spans="1:8" ht="43.9" customHeight="1">
      <c r="A171" s="185"/>
      <c r="B171" s="185"/>
      <c r="C171" s="185"/>
      <c r="D171" s="185"/>
      <c r="E171" s="185"/>
      <c r="F171" s="185"/>
      <c r="G171" s="185"/>
      <c r="H171" s="185"/>
    </row>
    <row r="172" spans="1:8" ht="18">
      <c r="A172" s="186" t="s">
        <v>87</v>
      </c>
      <c r="B172" s="187"/>
      <c r="C172" s="187"/>
      <c r="D172" s="187"/>
      <c r="E172" s="187"/>
      <c r="F172" s="187"/>
      <c r="G172" s="187"/>
      <c r="H172" s="188"/>
    </row>
    <row r="173" spans="1:8">
      <c r="A173" s="178" t="s">
        <v>88</v>
      </c>
      <c r="B173" s="179"/>
      <c r="C173" s="179"/>
      <c r="D173" s="179"/>
      <c r="E173" s="179"/>
      <c r="F173" s="179"/>
      <c r="G173" s="179"/>
      <c r="H173" s="180"/>
    </row>
  </sheetData>
  <mergeCells count="190">
    <mergeCell ref="A168:H171"/>
    <mergeCell ref="A172:H172"/>
    <mergeCell ref="A173:H173"/>
    <mergeCell ref="C162:G162"/>
    <mergeCell ref="C163:G163"/>
    <mergeCell ref="C164:G164"/>
    <mergeCell ref="C165:G165"/>
    <mergeCell ref="C166:G166"/>
    <mergeCell ref="A167:H167"/>
    <mergeCell ref="A155:B155"/>
    <mergeCell ref="C155:F155"/>
    <mergeCell ref="G155:H155"/>
    <mergeCell ref="A156:H156"/>
    <mergeCell ref="A157:B166"/>
    <mergeCell ref="C157:G157"/>
    <mergeCell ref="C158:G158"/>
    <mergeCell ref="C159:G159"/>
    <mergeCell ref="C160:G160"/>
    <mergeCell ref="C161:G161"/>
    <mergeCell ref="D152:F152"/>
    <mergeCell ref="G152:H152"/>
    <mergeCell ref="D153:F153"/>
    <mergeCell ref="G153:H153"/>
    <mergeCell ref="D154:F154"/>
    <mergeCell ref="G154:H154"/>
    <mergeCell ref="G147:H147"/>
    <mergeCell ref="A148:B154"/>
    <mergeCell ref="D148:F148"/>
    <mergeCell ref="G148:H148"/>
    <mergeCell ref="D149:F149"/>
    <mergeCell ref="G149:H149"/>
    <mergeCell ref="D150:F150"/>
    <mergeCell ref="G150:H150"/>
    <mergeCell ref="D151:F151"/>
    <mergeCell ref="G151:H151"/>
    <mergeCell ref="A142:B142"/>
    <mergeCell ref="C142:F142"/>
    <mergeCell ref="G142:H142"/>
    <mergeCell ref="A143:B147"/>
    <mergeCell ref="D143:F143"/>
    <mergeCell ref="G143:H146"/>
    <mergeCell ref="D144:F144"/>
    <mergeCell ref="D145:F145"/>
    <mergeCell ref="C146:C147"/>
    <mergeCell ref="D146:F147"/>
    <mergeCell ref="A138:H138"/>
    <mergeCell ref="A139:H139"/>
    <mergeCell ref="A140:H140"/>
    <mergeCell ref="A141:B141"/>
    <mergeCell ref="C141:F141"/>
    <mergeCell ref="G141:H141"/>
    <mergeCell ref="C126:F126"/>
    <mergeCell ref="A127:H127"/>
    <mergeCell ref="A128:H128"/>
    <mergeCell ref="A129:H130"/>
    <mergeCell ref="A131:F133"/>
    <mergeCell ref="A134:B137"/>
    <mergeCell ref="C134:F137"/>
    <mergeCell ref="C120:F120"/>
    <mergeCell ref="C121:F121"/>
    <mergeCell ref="C122:F122"/>
    <mergeCell ref="C123:F123"/>
    <mergeCell ref="C124:F124"/>
    <mergeCell ref="A125:H125"/>
    <mergeCell ref="C114:F114"/>
    <mergeCell ref="C115:F115"/>
    <mergeCell ref="C116:F116"/>
    <mergeCell ref="C117:F117"/>
    <mergeCell ref="A118:H118"/>
    <mergeCell ref="A119:H119"/>
    <mergeCell ref="C108:F108"/>
    <mergeCell ref="C109:F109"/>
    <mergeCell ref="C110:F110"/>
    <mergeCell ref="A111:H111"/>
    <mergeCell ref="A112:H112"/>
    <mergeCell ref="C113:F113"/>
    <mergeCell ref="A102:H102"/>
    <mergeCell ref="C103:F103"/>
    <mergeCell ref="A104:H104"/>
    <mergeCell ref="A105:H105"/>
    <mergeCell ref="C106:F106"/>
    <mergeCell ref="C107:F107"/>
    <mergeCell ref="C96:F96"/>
    <mergeCell ref="A97:H97"/>
    <mergeCell ref="A98:H98"/>
    <mergeCell ref="C99:F99"/>
    <mergeCell ref="C100:F100"/>
    <mergeCell ref="C101:F101"/>
    <mergeCell ref="A90:H90"/>
    <mergeCell ref="A91:H91"/>
    <mergeCell ref="C92:F92"/>
    <mergeCell ref="C93:F93"/>
    <mergeCell ref="C94:F94"/>
    <mergeCell ref="A95:H95"/>
    <mergeCell ref="A84:H84"/>
    <mergeCell ref="A85:H85"/>
    <mergeCell ref="C86:F86"/>
    <mergeCell ref="C87:F87"/>
    <mergeCell ref="C88:F88"/>
    <mergeCell ref="C89:F89"/>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738375B2-91B2-4012-8D37-D0DC9322FC81}"/>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03" max="7" man="1"/>
    <brk id="126" max="7" man="1"/>
    <brk id="130" max="7" man="1"/>
    <brk id="155" max="7" man="1"/>
    <brk id="173" max="16383" man="1"/>
  </rowBreak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EECD-14DD-40C2-A9F4-E09AD095CA1A}">
  <dimension ref="A1:R173"/>
  <sheetViews>
    <sheetView tabSelected="1" view="pageBreakPreview" topLeftCell="A133" zoomScale="85" zoomScaleNormal="80" zoomScaleSheetLayoutView="85" workbookViewId="0">
      <selection activeCell="C134" sqref="C134:F137"/>
    </sheetView>
  </sheetViews>
  <sheetFormatPr baseColWidth="10" defaultColWidth="11.28515625" defaultRowHeight="12.75"/>
  <cols>
    <col min="1" max="1" width="16.28515625" style="4" customWidth="1"/>
    <col min="2" max="2" width="16.85546875" style="4" customWidth="1"/>
    <col min="3" max="3" width="31.5703125" style="4" customWidth="1"/>
    <col min="4" max="5" width="16" style="4" customWidth="1"/>
    <col min="6" max="6" width="24.28515625" style="4" customWidth="1"/>
    <col min="7" max="7" width="21.7109375" style="5" customWidth="1"/>
    <col min="8" max="8" width="27.140625" style="5" customWidth="1"/>
    <col min="9" max="9" width="17.5703125" style="4" customWidth="1"/>
    <col min="10" max="10" width="17.42578125" style="4" customWidth="1"/>
    <col min="11" max="11" width="18.85546875" style="4" customWidth="1"/>
    <col min="12" max="12" width="11.28515625" style="4"/>
    <col min="13" max="13" width="14.140625" style="4" bestFit="1" customWidth="1"/>
    <col min="14" max="14" width="11.28515625" style="4"/>
    <col min="15" max="15" width="16.28515625" style="4" bestFit="1" customWidth="1"/>
    <col min="16" max="17" width="11.28515625" style="4"/>
    <col min="18" max="18" width="16.28515625" style="4" customWidth="1"/>
    <col min="19" max="16384" width="11.28515625" style="4"/>
  </cols>
  <sheetData>
    <row r="1" spans="1:18" ht="126.75" customHeight="1">
      <c r="A1" s="88"/>
      <c r="B1" s="88"/>
      <c r="C1" s="89" t="s">
        <v>0</v>
      </c>
      <c r="D1" s="90"/>
      <c r="E1" s="90"/>
      <c r="F1" s="90"/>
      <c r="G1" s="91"/>
      <c r="H1" s="91"/>
    </row>
    <row r="2" spans="1:18" ht="25.15" customHeight="1">
      <c r="A2" s="70" t="s">
        <v>1</v>
      </c>
      <c r="B2" s="7">
        <f ca="1">TODAY()</f>
        <v>46323</v>
      </c>
      <c r="C2" s="92"/>
      <c r="D2" s="92"/>
      <c r="E2" s="92"/>
      <c r="F2" s="92"/>
      <c r="G2" s="8" t="s">
        <v>2</v>
      </c>
      <c r="H2" s="9" t="s">
        <v>186</v>
      </c>
    </row>
    <row r="3" spans="1:18" ht="25.15" customHeight="1">
      <c r="A3" s="93" t="s">
        <v>3</v>
      </c>
      <c r="B3" s="93"/>
      <c r="C3" s="94" t="s">
        <v>4</v>
      </c>
      <c r="D3" s="94"/>
      <c r="E3" s="94"/>
      <c r="F3" s="94"/>
      <c r="G3" s="94"/>
      <c r="H3" s="94"/>
    </row>
    <row r="4" spans="1:18" ht="93.75" customHeight="1">
      <c r="A4" s="93" t="s">
        <v>5</v>
      </c>
      <c r="B4" s="93"/>
      <c r="C4" s="97" t="s">
        <v>185</v>
      </c>
      <c r="D4" s="98"/>
      <c r="E4" s="98"/>
      <c r="F4" s="98"/>
      <c r="G4" s="98"/>
      <c r="H4" s="99"/>
    </row>
    <row r="5" spans="1:18" ht="18.600000000000001" customHeight="1">
      <c r="A5" s="95" t="s">
        <v>6</v>
      </c>
      <c r="B5" s="96"/>
      <c r="C5" s="97" t="s">
        <v>150</v>
      </c>
      <c r="D5" s="98"/>
      <c r="E5" s="98"/>
      <c r="F5" s="98"/>
      <c r="G5" s="98"/>
      <c r="H5" s="99"/>
    </row>
    <row r="6" spans="1:18" ht="17.45" customHeight="1">
      <c r="A6" s="93" t="s">
        <v>7</v>
      </c>
      <c r="B6" s="93"/>
      <c r="C6" s="94" t="s">
        <v>147</v>
      </c>
      <c r="D6" s="94"/>
      <c r="E6" s="94"/>
      <c r="F6" s="94"/>
      <c r="G6" s="94"/>
      <c r="H6" s="94"/>
      <c r="K6" s="4">
        <v>0.45</v>
      </c>
      <c r="L6" s="4">
        <f>J14/K6</f>
        <v>213.33333333333331</v>
      </c>
      <c r="M6" s="4">
        <f>L6*0.25</f>
        <v>53.333333333333329</v>
      </c>
    </row>
    <row r="7" spans="1:18" ht="24.95" customHeight="1">
      <c r="A7" s="93" t="s">
        <v>8</v>
      </c>
      <c r="B7" s="93"/>
      <c r="C7" s="94" t="s">
        <v>148</v>
      </c>
      <c r="D7" s="94"/>
      <c r="E7" s="94"/>
      <c r="F7" s="94"/>
      <c r="G7" s="10" t="s">
        <v>8</v>
      </c>
      <c r="H7" s="69" t="s">
        <v>149</v>
      </c>
    </row>
    <row r="8" spans="1:18" ht="15.75">
      <c r="A8" s="86"/>
      <c r="B8" s="86"/>
      <c r="C8" s="86"/>
      <c r="D8" s="86"/>
      <c r="E8" s="86"/>
      <c r="F8" s="86"/>
      <c r="G8" s="86"/>
      <c r="H8" s="86"/>
    </row>
    <row r="9" spans="1:18" s="48" customFormat="1" ht="18">
      <c r="A9" s="74" t="s">
        <v>116</v>
      </c>
      <c r="B9" s="74"/>
      <c r="C9" s="74"/>
      <c r="D9" s="74"/>
      <c r="E9" s="74"/>
      <c r="F9" s="74"/>
      <c r="G9" s="74"/>
      <c r="H9" s="74"/>
      <c r="R9" s="48" t="s">
        <v>9</v>
      </c>
    </row>
    <row r="10" spans="1:18" s="52" customFormat="1" ht="15">
      <c r="A10" s="73" t="s">
        <v>10</v>
      </c>
      <c r="B10" s="50" t="s">
        <v>11</v>
      </c>
      <c r="C10" s="75" t="s">
        <v>12</v>
      </c>
      <c r="D10" s="75"/>
      <c r="E10" s="75"/>
      <c r="F10" s="75"/>
      <c r="G10" s="51" t="s">
        <v>13</v>
      </c>
      <c r="H10" s="51" t="s">
        <v>9</v>
      </c>
      <c r="J10" s="52" t="s">
        <v>14</v>
      </c>
      <c r="K10" s="52" t="s">
        <v>15</v>
      </c>
      <c r="L10" s="52" t="s">
        <v>16</v>
      </c>
      <c r="N10" s="52" t="s">
        <v>17</v>
      </c>
      <c r="R10" s="52">
        <v>220</v>
      </c>
    </row>
    <row r="11" spans="1:18" s="2" customFormat="1" ht="21.95" customHeight="1">
      <c r="A11" s="14">
        <f>N11</f>
        <v>466.30500000000001</v>
      </c>
      <c r="B11" s="15" t="s">
        <v>18</v>
      </c>
      <c r="C11" s="76" t="s">
        <v>19</v>
      </c>
      <c r="D11" s="76"/>
      <c r="E11" s="76"/>
      <c r="F11" s="76"/>
      <c r="G11" s="16">
        <f>R10</f>
        <v>220</v>
      </c>
      <c r="H11" s="17">
        <f>G11*A11</f>
        <v>102587.1</v>
      </c>
      <c r="J11" s="2">
        <v>444.1</v>
      </c>
      <c r="K11" s="40">
        <v>0.05</v>
      </c>
      <c r="L11" s="2">
        <f>J11*K11</f>
        <v>22.205000000000002</v>
      </c>
      <c r="N11" s="2">
        <f>J11+L11</f>
        <v>466.30500000000001</v>
      </c>
      <c r="O11" s="2">
        <v>2</v>
      </c>
      <c r="P11" s="2">
        <f>J11/O11</f>
        <v>222.05</v>
      </c>
    </row>
    <row r="12" spans="1:18" s="2" customFormat="1" ht="21.95" customHeight="1">
      <c r="A12" s="14">
        <f>N12</f>
        <v>137.82299999999998</v>
      </c>
      <c r="B12" s="15" t="s">
        <v>18</v>
      </c>
      <c r="C12" s="76" t="s">
        <v>20</v>
      </c>
      <c r="D12" s="76"/>
      <c r="E12" s="76"/>
      <c r="F12" s="76"/>
      <c r="G12" s="16">
        <f>R10</f>
        <v>220</v>
      </c>
      <c r="H12" s="17">
        <f>A12*G12</f>
        <v>30321.059999999994</v>
      </c>
      <c r="J12" s="2">
        <v>131.26</v>
      </c>
      <c r="K12" s="40">
        <v>0.05</v>
      </c>
      <c r="L12" s="2">
        <f>J12*K12</f>
        <v>6.5629999999999997</v>
      </c>
      <c r="N12" s="2">
        <f>J12+L12</f>
        <v>137.82299999999998</v>
      </c>
      <c r="O12" s="2">
        <v>2</v>
      </c>
      <c r="P12" s="2">
        <f t="shared" ref="P12:P13" si="0">J12/O12</f>
        <v>65.63</v>
      </c>
    </row>
    <row r="13" spans="1:18" s="2" customFormat="1" ht="21.95" customHeight="1">
      <c r="A13" s="14">
        <f>N13</f>
        <v>66.370500000000007</v>
      </c>
      <c r="B13" s="15" t="s">
        <v>18</v>
      </c>
      <c r="C13" s="76" t="s">
        <v>21</v>
      </c>
      <c r="D13" s="76"/>
      <c r="E13" s="76"/>
      <c r="F13" s="76"/>
      <c r="G13" s="16">
        <f>G12</f>
        <v>220</v>
      </c>
      <c r="H13" s="17">
        <f>A13*G13</f>
        <v>14601.510000000002</v>
      </c>
      <c r="J13" s="2">
        <v>63.21</v>
      </c>
      <c r="K13" s="40">
        <v>0.05</v>
      </c>
      <c r="L13" s="2">
        <f>J13*K13</f>
        <v>3.1605000000000003</v>
      </c>
      <c r="N13" s="2">
        <f>J13+L13</f>
        <v>66.370500000000007</v>
      </c>
      <c r="O13" s="2">
        <v>2</v>
      </c>
      <c r="P13" s="2">
        <f t="shared" si="0"/>
        <v>31.605</v>
      </c>
    </row>
    <row r="14" spans="1:18" s="2" customFormat="1" ht="21.95" customHeight="1">
      <c r="A14" s="14">
        <f>N14</f>
        <v>100.8</v>
      </c>
      <c r="B14" s="15" t="s">
        <v>22</v>
      </c>
      <c r="C14" s="76" t="s">
        <v>23</v>
      </c>
      <c r="D14" s="76"/>
      <c r="E14" s="76"/>
      <c r="F14" s="76"/>
      <c r="G14" s="16">
        <v>25</v>
      </c>
      <c r="H14" s="17">
        <f>A14*G14</f>
        <v>2520</v>
      </c>
      <c r="J14" s="2">
        <v>96</v>
      </c>
      <c r="K14" s="40">
        <v>0.05</v>
      </c>
      <c r="L14" s="2">
        <f>J14*K14</f>
        <v>4.8000000000000007</v>
      </c>
      <c r="N14" s="2">
        <f>J14+L14</f>
        <v>100.8</v>
      </c>
    </row>
    <row r="15" spans="1:18" s="2" customFormat="1" ht="45" customHeight="1">
      <c r="A15" s="81" t="s">
        <v>24</v>
      </c>
      <c r="B15" s="82"/>
      <c r="C15" s="82"/>
      <c r="D15" s="82"/>
      <c r="E15" s="82"/>
      <c r="F15" s="82"/>
      <c r="G15" s="18"/>
      <c r="H15" s="18"/>
      <c r="J15" s="2">
        <f>J11+J12+J13</f>
        <v>638.57000000000005</v>
      </c>
      <c r="K15" s="40"/>
      <c r="N15" s="2">
        <f>N11+N12</f>
        <v>604.12799999999993</v>
      </c>
    </row>
    <row r="16" spans="1:18" s="3" customFormat="1" ht="15.75">
      <c r="A16" s="19">
        <f>A11+A12+A13</f>
        <v>670.49849999999992</v>
      </c>
      <c r="B16" s="20" t="s">
        <v>25</v>
      </c>
      <c r="C16" s="83"/>
      <c r="D16" s="83"/>
      <c r="E16" s="83"/>
      <c r="F16" s="83"/>
      <c r="G16" s="20" t="s">
        <v>26</v>
      </c>
      <c r="H16" s="21">
        <f>H11+H12+H13+H14</f>
        <v>150029.67000000001</v>
      </c>
      <c r="K16" s="40"/>
      <c r="L16" s="2"/>
      <c r="N16" s="2"/>
    </row>
    <row r="17" spans="1:14" s="3" customFormat="1" ht="15.75">
      <c r="A17" s="19">
        <f>A14</f>
        <v>100.8</v>
      </c>
      <c r="B17" s="20" t="s">
        <v>27</v>
      </c>
      <c r="C17" s="84"/>
      <c r="D17" s="84"/>
      <c r="E17" s="84"/>
      <c r="F17" s="84"/>
      <c r="G17" s="85"/>
      <c r="H17" s="84"/>
      <c r="K17" s="40"/>
      <c r="L17" s="2"/>
      <c r="N17" s="2"/>
    </row>
    <row r="18" spans="1:14" s="58" customFormat="1" ht="15.75">
      <c r="A18" s="86"/>
      <c r="B18" s="86"/>
      <c r="C18" s="86"/>
      <c r="D18" s="86"/>
      <c r="E18" s="86"/>
      <c r="F18" s="86"/>
      <c r="G18" s="86"/>
      <c r="H18" s="86"/>
      <c r="K18" s="57"/>
      <c r="L18" s="56"/>
      <c r="N18" s="56"/>
    </row>
    <row r="19" spans="1:14" s="48" customFormat="1" ht="29.25" customHeight="1">
      <c r="A19" s="87" t="s">
        <v>121</v>
      </c>
      <c r="B19" s="87"/>
      <c r="C19" s="87"/>
      <c r="D19" s="87"/>
      <c r="E19" s="87"/>
      <c r="F19" s="87"/>
      <c r="G19" s="87"/>
      <c r="H19" s="87"/>
      <c r="J19" s="56"/>
      <c r="K19" s="57"/>
      <c r="L19" s="56"/>
      <c r="N19" s="56"/>
    </row>
    <row r="20" spans="1:14" s="52" customFormat="1" ht="15">
      <c r="A20" s="73" t="s">
        <v>10</v>
      </c>
      <c r="B20" s="50" t="s">
        <v>11</v>
      </c>
      <c r="C20" s="75" t="s">
        <v>12</v>
      </c>
      <c r="D20" s="75"/>
      <c r="E20" s="75"/>
      <c r="F20" s="75"/>
      <c r="G20" s="51" t="s">
        <v>13</v>
      </c>
      <c r="H20" s="51" t="s">
        <v>9</v>
      </c>
      <c r="I20" s="48"/>
      <c r="J20" s="56"/>
      <c r="K20" s="57"/>
      <c r="L20" s="56"/>
      <c r="N20" s="56"/>
    </row>
    <row r="21" spans="1:14" s="56" customFormat="1" ht="21.6" hidden="1" customHeight="1">
      <c r="A21" s="53">
        <v>0</v>
      </c>
      <c r="B21" s="54" t="s">
        <v>18</v>
      </c>
      <c r="C21" s="77" t="s">
        <v>28</v>
      </c>
      <c r="D21" s="78"/>
      <c r="E21" s="78"/>
      <c r="F21" s="79"/>
      <c r="G21" s="55">
        <f>R10</f>
        <v>220</v>
      </c>
      <c r="H21" s="17">
        <f t="shared" ref="H21:H22" si="1">G21*A21</f>
        <v>0</v>
      </c>
      <c r="I21" s="48"/>
      <c r="J21" s="56">
        <v>12</v>
      </c>
      <c r="K21" s="57">
        <v>0.1</v>
      </c>
      <c r="L21" s="56">
        <f t="shared" ref="L21:L22" si="2">J21*K21</f>
        <v>1.2000000000000002</v>
      </c>
      <c r="N21" s="56">
        <f t="shared" ref="N21:N22" si="3">J21+L21</f>
        <v>13.2</v>
      </c>
    </row>
    <row r="22" spans="1:14" s="56" customFormat="1" ht="21.6" customHeight="1">
      <c r="A22" s="53">
        <f>N22</f>
        <v>34.271999999999998</v>
      </c>
      <c r="B22" s="54" t="s">
        <v>18</v>
      </c>
      <c r="C22" s="80" t="s">
        <v>29</v>
      </c>
      <c r="D22" s="80"/>
      <c r="E22" s="80"/>
      <c r="F22" s="80"/>
      <c r="G22" s="55">
        <f>R10</f>
        <v>220</v>
      </c>
      <c r="H22" s="17">
        <f t="shared" si="1"/>
        <v>7539.8399999999992</v>
      </c>
      <c r="I22" s="48"/>
      <c r="J22" s="2">
        <v>32.64</v>
      </c>
      <c r="K22" s="57">
        <v>0.05</v>
      </c>
      <c r="L22" s="56">
        <f t="shared" si="2"/>
        <v>1.6320000000000001</v>
      </c>
      <c r="N22" s="56">
        <f t="shared" si="3"/>
        <v>34.271999999999998</v>
      </c>
    </row>
    <row r="23" spans="1:14" s="58" customFormat="1" ht="15.75">
      <c r="A23" s="19">
        <f>A22</f>
        <v>34.271999999999998</v>
      </c>
      <c r="B23" s="20" t="s">
        <v>25</v>
      </c>
      <c r="C23" s="83"/>
      <c r="D23" s="83"/>
      <c r="E23" s="83"/>
      <c r="F23" s="83"/>
      <c r="G23" s="20" t="s">
        <v>26</v>
      </c>
      <c r="H23" s="22">
        <f>H22</f>
        <v>7539.8399999999992</v>
      </c>
      <c r="I23" s="48"/>
      <c r="J23" s="56">
        <f>SUM(J21:J22)</f>
        <v>44.64</v>
      </c>
      <c r="K23" s="57"/>
      <c r="L23" s="56"/>
      <c r="M23" s="56"/>
      <c r="N23" s="56"/>
    </row>
    <row r="24" spans="1:14" s="48" customFormat="1">
      <c r="A24" s="100"/>
      <c r="B24" s="101"/>
      <c r="C24" s="101"/>
      <c r="D24" s="101"/>
      <c r="E24" s="101"/>
      <c r="F24" s="101"/>
      <c r="G24" s="101"/>
      <c r="H24" s="102"/>
    </row>
    <row r="25" spans="1:14" s="48" customFormat="1" ht="18">
      <c r="A25" s="74" t="s">
        <v>117</v>
      </c>
      <c r="B25" s="74"/>
      <c r="C25" s="74"/>
      <c r="D25" s="74"/>
      <c r="E25" s="74"/>
      <c r="F25" s="74"/>
      <c r="G25" s="74"/>
      <c r="H25" s="74"/>
      <c r="J25" s="56" t="e">
        <f>#REF!+#REF!</f>
        <v>#REF!</v>
      </c>
      <c r="K25" s="57"/>
      <c r="L25" s="56"/>
      <c r="N25" s="56"/>
    </row>
    <row r="26" spans="1:14" s="52" customFormat="1" ht="15">
      <c r="A26" s="73" t="s">
        <v>10</v>
      </c>
      <c r="B26" s="50" t="s">
        <v>11</v>
      </c>
      <c r="C26" s="75" t="s">
        <v>12</v>
      </c>
      <c r="D26" s="75"/>
      <c r="E26" s="75"/>
      <c r="F26" s="75"/>
      <c r="G26" s="51" t="s">
        <v>13</v>
      </c>
      <c r="H26" s="51" t="s">
        <v>9</v>
      </c>
      <c r="I26" s="48"/>
      <c r="J26" s="56"/>
      <c r="K26" s="57"/>
      <c r="L26" s="56"/>
      <c r="N26" s="56"/>
    </row>
    <row r="27" spans="1:14" s="56" customFormat="1" ht="36.6" customHeight="1">
      <c r="A27" s="67">
        <f>N27</f>
        <v>28.561</v>
      </c>
      <c r="B27" s="59" t="s">
        <v>18</v>
      </c>
      <c r="C27" s="103" t="s">
        <v>127</v>
      </c>
      <c r="D27" s="104"/>
      <c r="E27" s="104"/>
      <c r="F27" s="105"/>
      <c r="G27" s="55">
        <f>R10</f>
        <v>220</v>
      </c>
      <c r="H27" s="17">
        <f>G27*A27</f>
        <v>6283.42</v>
      </c>
      <c r="I27" s="48"/>
      <c r="J27" s="56">
        <v>21.97</v>
      </c>
      <c r="K27" s="57">
        <v>0.3</v>
      </c>
      <c r="L27" s="56">
        <f t="shared" ref="L27" si="4">J27*K27</f>
        <v>6.5909999999999993</v>
      </c>
      <c r="N27" s="56">
        <f t="shared" ref="N27" si="5">J27+L27</f>
        <v>28.561</v>
      </c>
    </row>
    <row r="28" spans="1:14" s="58" customFormat="1" ht="15.75">
      <c r="A28" s="19">
        <f>A27</f>
        <v>28.561</v>
      </c>
      <c r="B28" s="20" t="s">
        <v>25</v>
      </c>
      <c r="C28" s="83"/>
      <c r="D28" s="83"/>
      <c r="E28" s="83"/>
      <c r="F28" s="83"/>
      <c r="G28" s="20" t="s">
        <v>26</v>
      </c>
      <c r="H28" s="21">
        <f>H27</f>
        <v>6283.42</v>
      </c>
      <c r="I28" s="48"/>
      <c r="J28" s="56">
        <f>SUM(J27:J27)</f>
        <v>21.97</v>
      </c>
      <c r="K28" s="57"/>
      <c r="L28" s="56"/>
      <c r="M28" s="56"/>
      <c r="N28" s="56"/>
    </row>
    <row r="29" spans="1:14" s="48" customFormat="1">
      <c r="A29" s="100"/>
      <c r="B29" s="101"/>
      <c r="C29" s="101"/>
      <c r="D29" s="101"/>
      <c r="E29" s="101"/>
      <c r="F29" s="101"/>
      <c r="G29" s="101"/>
      <c r="H29" s="102"/>
    </row>
    <row r="30" spans="1:14" s="48" customFormat="1" ht="18">
      <c r="A30" s="74" t="s">
        <v>118</v>
      </c>
      <c r="B30" s="74"/>
      <c r="C30" s="74"/>
      <c r="D30" s="74"/>
      <c r="E30" s="74"/>
      <c r="F30" s="74"/>
      <c r="G30" s="74"/>
      <c r="H30" s="74"/>
      <c r="J30" s="56"/>
      <c r="K30" s="57"/>
      <c r="L30" s="56"/>
      <c r="N30" s="56"/>
    </row>
    <row r="31" spans="1:14" s="52" customFormat="1" ht="15">
      <c r="A31" s="73" t="s">
        <v>10</v>
      </c>
      <c r="B31" s="50" t="s">
        <v>11</v>
      </c>
      <c r="C31" s="75" t="s">
        <v>12</v>
      </c>
      <c r="D31" s="75"/>
      <c r="E31" s="75"/>
      <c r="F31" s="75"/>
      <c r="G31" s="51" t="s">
        <v>13</v>
      </c>
      <c r="H31" s="51" t="s">
        <v>9</v>
      </c>
      <c r="I31" s="48"/>
      <c r="J31" s="56"/>
      <c r="K31" s="57"/>
      <c r="L31" s="56"/>
      <c r="N31" s="56"/>
    </row>
    <row r="32" spans="1:14" s="56" customFormat="1" ht="22.5" customHeight="1">
      <c r="A32" s="53">
        <f>N32</f>
        <v>50.4</v>
      </c>
      <c r="B32" s="54" t="s">
        <v>18</v>
      </c>
      <c r="C32" s="76" t="s">
        <v>32</v>
      </c>
      <c r="D32" s="76"/>
      <c r="E32" s="76"/>
      <c r="F32" s="76"/>
      <c r="G32" s="55">
        <f>R10</f>
        <v>220</v>
      </c>
      <c r="H32" s="17">
        <f>G32*A32</f>
        <v>11088</v>
      </c>
      <c r="I32" s="48"/>
      <c r="J32" s="56">
        <v>48</v>
      </c>
      <c r="K32" s="57">
        <v>0.05</v>
      </c>
      <c r="L32" s="56">
        <f t="shared" ref="L32" si="6">J32*K32</f>
        <v>2.4000000000000004</v>
      </c>
      <c r="N32" s="56">
        <f t="shared" ref="N32" si="7">J32+L32</f>
        <v>50.4</v>
      </c>
    </row>
    <row r="33" spans="1:18" s="58" customFormat="1" ht="15.75">
      <c r="A33" s="19">
        <f>SUM(A32:A32)</f>
        <v>50.4</v>
      </c>
      <c r="B33" s="20" t="s">
        <v>25</v>
      </c>
      <c r="C33" s="83"/>
      <c r="D33" s="83"/>
      <c r="E33" s="83"/>
      <c r="F33" s="83"/>
      <c r="G33" s="20"/>
      <c r="H33" s="22">
        <f>H32</f>
        <v>11088</v>
      </c>
      <c r="I33" s="48"/>
      <c r="J33" s="56"/>
      <c r="K33" s="57"/>
      <c r="L33" s="56"/>
      <c r="M33" s="56"/>
      <c r="N33" s="56"/>
    </row>
    <row r="34" spans="1:18" s="48" customFormat="1">
      <c r="A34" s="100"/>
      <c r="B34" s="101"/>
      <c r="C34" s="101"/>
      <c r="D34" s="101"/>
      <c r="E34" s="101"/>
      <c r="F34" s="101"/>
      <c r="G34" s="101"/>
      <c r="H34" s="102"/>
    </row>
    <row r="35" spans="1:18" s="48" customFormat="1" ht="18.75" customHeight="1">
      <c r="A35" s="60">
        <f>A33+A28+A23+A16</f>
        <v>783.73149999999987</v>
      </c>
      <c r="B35" s="71" t="s">
        <v>25</v>
      </c>
      <c r="C35" s="107" t="s">
        <v>91</v>
      </c>
      <c r="D35" s="107"/>
      <c r="E35" s="107"/>
      <c r="F35" s="107"/>
      <c r="G35" s="71" t="s">
        <v>26</v>
      </c>
      <c r="H35" s="61">
        <f>H33+H28+H23+H16</f>
        <v>174940.93000000002</v>
      </c>
      <c r="K35" s="62"/>
    </row>
    <row r="36" spans="1:18" s="48" customFormat="1">
      <c r="A36" s="100"/>
      <c r="B36" s="101"/>
      <c r="C36" s="101"/>
      <c r="D36" s="101"/>
      <c r="E36" s="101"/>
      <c r="F36" s="101"/>
      <c r="G36" s="101"/>
      <c r="H36" s="102"/>
    </row>
    <row r="37" spans="1:18" s="48" customFormat="1" ht="18">
      <c r="A37" s="74" t="s">
        <v>119</v>
      </c>
      <c r="B37" s="74"/>
      <c r="C37" s="74"/>
      <c r="D37" s="74"/>
      <c r="E37" s="74"/>
      <c r="F37" s="74"/>
      <c r="G37" s="74"/>
      <c r="H37" s="74"/>
      <c r="R37" s="48" t="s">
        <v>9</v>
      </c>
    </row>
    <row r="38" spans="1:18" s="52" customFormat="1" ht="15">
      <c r="A38" s="73" t="s">
        <v>10</v>
      </c>
      <c r="B38" s="50" t="s">
        <v>11</v>
      </c>
      <c r="C38" s="75" t="s">
        <v>12</v>
      </c>
      <c r="D38" s="75"/>
      <c r="E38" s="75"/>
      <c r="F38" s="75"/>
      <c r="G38" s="51" t="s">
        <v>13</v>
      </c>
      <c r="H38" s="51" t="s">
        <v>9</v>
      </c>
      <c r="J38" s="52" t="s">
        <v>14</v>
      </c>
      <c r="K38" s="52" t="s">
        <v>15</v>
      </c>
      <c r="L38" s="52" t="s">
        <v>16</v>
      </c>
      <c r="N38" s="52" t="s">
        <v>17</v>
      </c>
      <c r="R38" s="52">
        <v>220</v>
      </c>
    </row>
    <row r="39" spans="1:18" s="2" customFormat="1" ht="21.95" customHeight="1">
      <c r="A39" s="14">
        <f>N39</f>
        <v>466.30500000000001</v>
      </c>
      <c r="B39" s="15" t="s">
        <v>18</v>
      </c>
      <c r="C39" s="76" t="s">
        <v>19</v>
      </c>
      <c r="D39" s="76"/>
      <c r="E39" s="76"/>
      <c r="F39" s="76"/>
      <c r="G39" s="16">
        <f>R38</f>
        <v>220</v>
      </c>
      <c r="H39" s="17">
        <f>G39*A39</f>
        <v>102587.1</v>
      </c>
      <c r="J39" s="2">
        <v>444.1</v>
      </c>
      <c r="K39" s="40">
        <v>0.05</v>
      </c>
      <c r="L39" s="2">
        <f>J39*K39</f>
        <v>22.205000000000002</v>
      </c>
      <c r="N39" s="2">
        <f>J39+L39</f>
        <v>466.30500000000001</v>
      </c>
      <c r="O39" s="2">
        <v>2</v>
      </c>
      <c r="P39" s="2">
        <f>J39/O39</f>
        <v>222.05</v>
      </c>
    </row>
    <row r="40" spans="1:18" s="2" customFormat="1" ht="21.95" customHeight="1">
      <c r="A40" s="14">
        <f>N40</f>
        <v>137.82299999999998</v>
      </c>
      <c r="B40" s="15" t="s">
        <v>18</v>
      </c>
      <c r="C40" s="76" t="s">
        <v>20</v>
      </c>
      <c r="D40" s="76"/>
      <c r="E40" s="76"/>
      <c r="F40" s="76"/>
      <c r="G40" s="16">
        <f>R38</f>
        <v>220</v>
      </c>
      <c r="H40" s="17">
        <f>A40*G40</f>
        <v>30321.059999999994</v>
      </c>
      <c r="J40" s="2">
        <v>131.26</v>
      </c>
      <c r="K40" s="40">
        <v>0.05</v>
      </c>
      <c r="L40" s="2">
        <f>J40*K40</f>
        <v>6.5629999999999997</v>
      </c>
      <c r="N40" s="2">
        <f>J40+L40</f>
        <v>137.82299999999998</v>
      </c>
      <c r="O40" s="2">
        <v>2</v>
      </c>
      <c r="P40" s="2">
        <f t="shared" ref="P40:P41" si="8">J40/O40</f>
        <v>65.63</v>
      </c>
    </row>
    <row r="41" spans="1:18" s="2" customFormat="1" ht="21.95" customHeight="1">
      <c r="A41" s="14">
        <f>N41</f>
        <v>66.370500000000007</v>
      </c>
      <c r="B41" s="15" t="s">
        <v>18</v>
      </c>
      <c r="C41" s="76" t="s">
        <v>21</v>
      </c>
      <c r="D41" s="76"/>
      <c r="E41" s="76"/>
      <c r="F41" s="76"/>
      <c r="G41" s="16">
        <f>G40</f>
        <v>220</v>
      </c>
      <c r="H41" s="17">
        <f>A41*G41</f>
        <v>14601.510000000002</v>
      </c>
      <c r="J41" s="2">
        <v>63.21</v>
      </c>
      <c r="K41" s="40">
        <v>0.05</v>
      </c>
      <c r="L41" s="2">
        <f>J41*K41</f>
        <v>3.1605000000000003</v>
      </c>
      <c r="N41" s="2">
        <f>J41+L41</f>
        <v>66.370500000000007</v>
      </c>
      <c r="O41" s="2">
        <v>2</v>
      </c>
      <c r="P41" s="2">
        <f t="shared" si="8"/>
        <v>31.605</v>
      </c>
    </row>
    <row r="42" spans="1:18" s="2" customFormat="1" ht="21.95" customHeight="1">
      <c r="A42" s="14">
        <f>N42</f>
        <v>100.8</v>
      </c>
      <c r="B42" s="15" t="s">
        <v>22</v>
      </c>
      <c r="C42" s="76" t="s">
        <v>23</v>
      </c>
      <c r="D42" s="76"/>
      <c r="E42" s="76"/>
      <c r="F42" s="76"/>
      <c r="G42" s="16">
        <v>25</v>
      </c>
      <c r="H42" s="17">
        <f>A42*G42</f>
        <v>2520</v>
      </c>
      <c r="J42" s="2">
        <v>96</v>
      </c>
      <c r="K42" s="40">
        <v>0.05</v>
      </c>
      <c r="L42" s="2">
        <f>J42*K42</f>
        <v>4.8000000000000007</v>
      </c>
      <c r="N42" s="2">
        <f>J42+L42</f>
        <v>100.8</v>
      </c>
    </row>
    <row r="43" spans="1:18" s="2" customFormat="1" ht="45" customHeight="1">
      <c r="A43" s="81" t="s">
        <v>24</v>
      </c>
      <c r="B43" s="82"/>
      <c r="C43" s="82"/>
      <c r="D43" s="82"/>
      <c r="E43" s="82"/>
      <c r="F43" s="82"/>
      <c r="G43" s="18"/>
      <c r="H43" s="18"/>
      <c r="J43" s="2">
        <f>J39+J40+J41</f>
        <v>638.57000000000005</v>
      </c>
      <c r="K43" s="40"/>
      <c r="N43" s="2">
        <f>N39+N40</f>
        <v>604.12799999999993</v>
      </c>
    </row>
    <row r="44" spans="1:18" s="3" customFormat="1" ht="15.75">
      <c r="A44" s="19">
        <f>A39+A40+A41</f>
        <v>670.49849999999992</v>
      </c>
      <c r="B44" s="20" t="s">
        <v>25</v>
      </c>
      <c r="C44" s="83"/>
      <c r="D44" s="83"/>
      <c r="E44" s="83"/>
      <c r="F44" s="83"/>
      <c r="G44" s="20" t="s">
        <v>26</v>
      </c>
      <c r="H44" s="21">
        <f>H39+H40+H41+H42</f>
        <v>150029.67000000001</v>
      </c>
      <c r="K44" s="40"/>
      <c r="L44" s="2"/>
      <c r="N44" s="2"/>
    </row>
    <row r="45" spans="1:18" s="3" customFormat="1" ht="15.75">
      <c r="A45" s="19">
        <f>A42</f>
        <v>100.8</v>
      </c>
      <c r="B45" s="20" t="s">
        <v>27</v>
      </c>
      <c r="C45" s="84"/>
      <c r="D45" s="84"/>
      <c r="E45" s="84"/>
      <c r="F45" s="84"/>
      <c r="G45" s="85"/>
      <c r="H45" s="84"/>
      <c r="K45" s="40"/>
      <c r="L45" s="2"/>
      <c r="N45" s="2"/>
    </row>
    <row r="46" spans="1:18" s="58" customFormat="1" ht="15.75">
      <c r="A46" s="86"/>
      <c r="B46" s="86"/>
      <c r="C46" s="86"/>
      <c r="D46" s="86"/>
      <c r="E46" s="86"/>
      <c r="F46" s="86"/>
      <c r="G46" s="86"/>
      <c r="H46" s="86"/>
      <c r="K46" s="57"/>
      <c r="L46" s="56"/>
      <c r="N46" s="56"/>
    </row>
    <row r="47" spans="1:18" s="48" customFormat="1" ht="29.25" customHeight="1">
      <c r="A47" s="87" t="s">
        <v>120</v>
      </c>
      <c r="B47" s="87"/>
      <c r="C47" s="87"/>
      <c r="D47" s="87"/>
      <c r="E47" s="87"/>
      <c r="F47" s="87"/>
      <c r="G47" s="87"/>
      <c r="H47" s="87"/>
      <c r="J47" s="56"/>
      <c r="K47" s="57"/>
      <c r="L47" s="56"/>
      <c r="N47" s="56"/>
    </row>
    <row r="48" spans="1:18" s="52" customFormat="1" ht="15">
      <c r="A48" s="73" t="s">
        <v>10</v>
      </c>
      <c r="B48" s="50" t="s">
        <v>11</v>
      </c>
      <c r="C48" s="75" t="s">
        <v>12</v>
      </c>
      <c r="D48" s="75"/>
      <c r="E48" s="75"/>
      <c r="F48" s="75"/>
      <c r="G48" s="51" t="s">
        <v>13</v>
      </c>
      <c r="H48" s="51" t="s">
        <v>9</v>
      </c>
      <c r="I48" s="48"/>
      <c r="J48" s="56"/>
      <c r="K48" s="57"/>
      <c r="L48" s="56"/>
      <c r="N48" s="56"/>
    </row>
    <row r="49" spans="1:18" s="56" customFormat="1" ht="21.6" hidden="1" customHeight="1">
      <c r="A49" s="53">
        <v>0</v>
      </c>
      <c r="B49" s="54" t="s">
        <v>18</v>
      </c>
      <c r="C49" s="77" t="s">
        <v>28</v>
      </c>
      <c r="D49" s="78"/>
      <c r="E49" s="78"/>
      <c r="F49" s="79"/>
      <c r="G49" s="55">
        <f>R38</f>
        <v>220</v>
      </c>
      <c r="H49" s="17">
        <f t="shared" ref="H49:H50" si="9">G49*A49</f>
        <v>0</v>
      </c>
      <c r="I49" s="48"/>
      <c r="J49" s="56">
        <v>12</v>
      </c>
      <c r="K49" s="57">
        <v>0.1</v>
      </c>
      <c r="L49" s="56">
        <f t="shared" ref="L49:L50" si="10">J49*K49</f>
        <v>1.2000000000000002</v>
      </c>
      <c r="N49" s="56">
        <f t="shared" ref="N49:N50" si="11">J49+L49</f>
        <v>13.2</v>
      </c>
    </row>
    <row r="50" spans="1:18" s="56" customFormat="1" ht="21.6" customHeight="1">
      <c r="A50" s="53">
        <f>N50</f>
        <v>34.271999999999998</v>
      </c>
      <c r="B50" s="54" t="s">
        <v>18</v>
      </c>
      <c r="C50" s="80" t="s">
        <v>29</v>
      </c>
      <c r="D50" s="80"/>
      <c r="E50" s="80"/>
      <c r="F50" s="80"/>
      <c r="G50" s="55">
        <f>R38</f>
        <v>220</v>
      </c>
      <c r="H50" s="17">
        <f t="shared" si="9"/>
        <v>7539.8399999999992</v>
      </c>
      <c r="I50" s="48"/>
      <c r="J50" s="2">
        <v>32.64</v>
      </c>
      <c r="K50" s="57">
        <v>0.05</v>
      </c>
      <c r="L50" s="56">
        <f t="shared" si="10"/>
        <v>1.6320000000000001</v>
      </c>
      <c r="N50" s="56">
        <f t="shared" si="11"/>
        <v>34.271999999999998</v>
      </c>
    </row>
    <row r="51" spans="1:18" s="58" customFormat="1" ht="15.75">
      <c r="A51" s="19">
        <f>A50</f>
        <v>34.271999999999998</v>
      </c>
      <c r="B51" s="20" t="s">
        <v>25</v>
      </c>
      <c r="C51" s="83"/>
      <c r="D51" s="83"/>
      <c r="E51" s="83"/>
      <c r="F51" s="83"/>
      <c r="G51" s="20" t="s">
        <v>26</v>
      </c>
      <c r="H51" s="22">
        <f>H50</f>
        <v>7539.8399999999992</v>
      </c>
      <c r="I51" s="48"/>
      <c r="J51" s="56">
        <f>SUM(J49:J50)</f>
        <v>44.64</v>
      </c>
      <c r="K51" s="57"/>
      <c r="L51" s="56"/>
      <c r="M51" s="56"/>
      <c r="N51" s="56"/>
    </row>
    <row r="52" spans="1:18" s="48" customFormat="1">
      <c r="A52" s="100"/>
      <c r="B52" s="101"/>
      <c r="C52" s="101"/>
      <c r="D52" s="101"/>
      <c r="E52" s="101"/>
      <c r="F52" s="101"/>
      <c r="G52" s="101"/>
      <c r="H52" s="102"/>
    </row>
    <row r="53" spans="1:18" s="48" customFormat="1" ht="18">
      <c r="A53" s="74" t="s">
        <v>122</v>
      </c>
      <c r="B53" s="74"/>
      <c r="C53" s="74"/>
      <c r="D53" s="74"/>
      <c r="E53" s="74"/>
      <c r="F53" s="74"/>
      <c r="G53" s="74"/>
      <c r="H53" s="74"/>
      <c r="J53" s="56" t="e">
        <f>#REF!+#REF!</f>
        <v>#REF!</v>
      </c>
      <c r="K53" s="57"/>
      <c r="L53" s="56"/>
      <c r="N53" s="56"/>
    </row>
    <row r="54" spans="1:18" s="52" customFormat="1" ht="15">
      <c r="A54" s="73" t="s">
        <v>10</v>
      </c>
      <c r="B54" s="50" t="s">
        <v>11</v>
      </c>
      <c r="C54" s="75" t="s">
        <v>12</v>
      </c>
      <c r="D54" s="75"/>
      <c r="E54" s="75"/>
      <c r="F54" s="75"/>
      <c r="G54" s="51" t="s">
        <v>13</v>
      </c>
      <c r="H54" s="51" t="s">
        <v>9</v>
      </c>
      <c r="I54" s="48"/>
      <c r="J54" s="56"/>
      <c r="K54" s="57"/>
      <c r="L54" s="56"/>
      <c r="N54" s="56"/>
    </row>
    <row r="55" spans="1:18" s="56" customFormat="1" ht="36.6" customHeight="1">
      <c r="A55" s="67">
        <f>N55</f>
        <v>28.561</v>
      </c>
      <c r="B55" s="59" t="s">
        <v>18</v>
      </c>
      <c r="C55" s="103" t="s">
        <v>128</v>
      </c>
      <c r="D55" s="104"/>
      <c r="E55" s="104"/>
      <c r="F55" s="105"/>
      <c r="G55" s="55">
        <f>R38</f>
        <v>220</v>
      </c>
      <c r="H55" s="17">
        <f>G55*A55</f>
        <v>6283.42</v>
      </c>
      <c r="I55" s="48"/>
      <c r="J55" s="56">
        <v>21.97</v>
      </c>
      <c r="K55" s="57">
        <v>0.3</v>
      </c>
      <c r="L55" s="56">
        <f t="shared" ref="L55" si="12">J55*K55</f>
        <v>6.5909999999999993</v>
      </c>
      <c r="N55" s="56">
        <f t="shared" ref="N55" si="13">J55+L55</f>
        <v>28.561</v>
      </c>
    </row>
    <row r="56" spans="1:18" s="58" customFormat="1" ht="15.75">
      <c r="A56" s="19">
        <f>A55</f>
        <v>28.561</v>
      </c>
      <c r="B56" s="20" t="s">
        <v>25</v>
      </c>
      <c r="C56" s="83"/>
      <c r="D56" s="83"/>
      <c r="E56" s="83"/>
      <c r="F56" s="83"/>
      <c r="G56" s="20" t="s">
        <v>26</v>
      </c>
      <c r="H56" s="21">
        <f>H55</f>
        <v>6283.42</v>
      </c>
      <c r="I56" s="48"/>
      <c r="J56" s="56">
        <f>SUM(J55:J55)</f>
        <v>21.97</v>
      </c>
      <c r="K56" s="57"/>
      <c r="L56" s="56"/>
      <c r="M56" s="56"/>
      <c r="N56" s="56"/>
    </row>
    <row r="57" spans="1:18" s="48" customFormat="1">
      <c r="A57" s="100"/>
      <c r="B57" s="101"/>
      <c r="C57" s="101"/>
      <c r="D57" s="101"/>
      <c r="E57" s="101"/>
      <c r="F57" s="101"/>
      <c r="G57" s="101"/>
      <c r="H57" s="102"/>
    </row>
    <row r="58" spans="1:18" s="48" customFormat="1" ht="18.75" customHeight="1">
      <c r="A58" s="60">
        <f>A44+A51+A56</f>
        <v>733.33150000000001</v>
      </c>
      <c r="B58" s="71" t="s">
        <v>25</v>
      </c>
      <c r="C58" s="107" t="s">
        <v>123</v>
      </c>
      <c r="D58" s="107"/>
      <c r="E58" s="107"/>
      <c r="F58" s="107"/>
      <c r="G58" s="71" t="s">
        <v>26</v>
      </c>
      <c r="H58" s="61">
        <f>H44+H51+H56</f>
        <v>163852.93000000002</v>
      </c>
      <c r="K58" s="62"/>
    </row>
    <row r="59" spans="1:18" s="48" customFormat="1">
      <c r="A59" s="100"/>
      <c r="B59" s="101"/>
      <c r="C59" s="101"/>
      <c r="D59" s="101"/>
      <c r="E59" s="101"/>
      <c r="F59" s="101"/>
      <c r="G59" s="101"/>
      <c r="H59" s="102"/>
    </row>
    <row r="60" spans="1:18" s="48" customFormat="1" ht="18">
      <c r="A60" s="74" t="s">
        <v>124</v>
      </c>
      <c r="B60" s="74"/>
      <c r="C60" s="74"/>
      <c r="D60" s="74"/>
      <c r="E60" s="74"/>
      <c r="F60" s="74"/>
      <c r="G60" s="74"/>
      <c r="H60" s="74"/>
      <c r="R60" s="48" t="s">
        <v>9</v>
      </c>
    </row>
    <row r="61" spans="1:18" s="52" customFormat="1" ht="15">
      <c r="A61" s="73" t="s">
        <v>10</v>
      </c>
      <c r="B61" s="50" t="s">
        <v>11</v>
      </c>
      <c r="C61" s="75" t="s">
        <v>12</v>
      </c>
      <c r="D61" s="75"/>
      <c r="E61" s="75"/>
      <c r="F61" s="75"/>
      <c r="G61" s="51" t="s">
        <v>13</v>
      </c>
      <c r="H61" s="51" t="s">
        <v>9</v>
      </c>
      <c r="J61" s="52" t="s">
        <v>14</v>
      </c>
      <c r="K61" s="52" t="s">
        <v>15</v>
      </c>
      <c r="L61" s="52" t="s">
        <v>16</v>
      </c>
      <c r="N61" s="52" t="s">
        <v>17</v>
      </c>
      <c r="R61" s="52">
        <v>220</v>
      </c>
    </row>
    <row r="62" spans="1:18" s="2" customFormat="1" ht="21.95" customHeight="1">
      <c r="A62" s="14">
        <f>N62</f>
        <v>466.30500000000001</v>
      </c>
      <c r="B62" s="15" t="s">
        <v>18</v>
      </c>
      <c r="C62" s="76" t="s">
        <v>19</v>
      </c>
      <c r="D62" s="76"/>
      <c r="E62" s="76"/>
      <c r="F62" s="76"/>
      <c r="G62" s="16">
        <f>R61</f>
        <v>220</v>
      </c>
      <c r="H62" s="17">
        <f>G62*A62</f>
        <v>102587.1</v>
      </c>
      <c r="J62" s="2">
        <v>444.1</v>
      </c>
      <c r="K62" s="40">
        <v>0.05</v>
      </c>
      <c r="L62" s="2">
        <f>J62*K62</f>
        <v>22.205000000000002</v>
      </c>
      <c r="N62" s="2">
        <f>J62+L62</f>
        <v>466.30500000000001</v>
      </c>
      <c r="O62" s="2">
        <v>2</v>
      </c>
      <c r="P62" s="2">
        <f>J62/O62</f>
        <v>222.05</v>
      </c>
    </row>
    <row r="63" spans="1:18" s="2" customFormat="1" ht="21.95" customHeight="1">
      <c r="A63" s="14">
        <f>N63</f>
        <v>137.82299999999998</v>
      </c>
      <c r="B63" s="15" t="s">
        <v>18</v>
      </c>
      <c r="C63" s="76" t="s">
        <v>20</v>
      </c>
      <c r="D63" s="76"/>
      <c r="E63" s="76"/>
      <c r="F63" s="76"/>
      <c r="G63" s="16">
        <f>R61</f>
        <v>220</v>
      </c>
      <c r="H63" s="17">
        <f>A63*G63</f>
        <v>30321.059999999994</v>
      </c>
      <c r="J63" s="2">
        <v>131.26</v>
      </c>
      <c r="K63" s="40">
        <v>0.05</v>
      </c>
      <c r="L63" s="2">
        <f>J63*K63</f>
        <v>6.5629999999999997</v>
      </c>
      <c r="N63" s="2">
        <f>J63+L63</f>
        <v>137.82299999999998</v>
      </c>
      <c r="O63" s="2">
        <v>2</v>
      </c>
      <c r="P63" s="2">
        <f t="shared" ref="P63:P64" si="14">J63/O63</f>
        <v>65.63</v>
      </c>
    </row>
    <row r="64" spans="1:18" s="2" customFormat="1" ht="21.95" customHeight="1">
      <c r="A64" s="14">
        <f>N64</f>
        <v>66.370500000000007</v>
      </c>
      <c r="B64" s="15" t="s">
        <v>18</v>
      </c>
      <c r="C64" s="76" t="s">
        <v>21</v>
      </c>
      <c r="D64" s="76"/>
      <c r="E64" s="76"/>
      <c r="F64" s="76"/>
      <c r="G64" s="16">
        <f>G63</f>
        <v>220</v>
      </c>
      <c r="H64" s="17">
        <f>A64*G64</f>
        <v>14601.510000000002</v>
      </c>
      <c r="J64" s="2">
        <v>63.21</v>
      </c>
      <c r="K64" s="40">
        <v>0.05</v>
      </c>
      <c r="L64" s="2">
        <f>J64*K64</f>
        <v>3.1605000000000003</v>
      </c>
      <c r="N64" s="2">
        <f>J64+L64</f>
        <v>66.370500000000007</v>
      </c>
      <c r="O64" s="2">
        <v>2</v>
      </c>
      <c r="P64" s="2">
        <f t="shared" si="14"/>
        <v>31.605</v>
      </c>
    </row>
    <row r="65" spans="1:14" s="2" customFormat="1" ht="21.95" customHeight="1">
      <c r="A65" s="14">
        <f>N65</f>
        <v>100.8</v>
      </c>
      <c r="B65" s="15" t="s">
        <v>22</v>
      </c>
      <c r="C65" s="76" t="s">
        <v>23</v>
      </c>
      <c r="D65" s="76"/>
      <c r="E65" s="76"/>
      <c r="F65" s="76"/>
      <c r="G65" s="16">
        <v>25</v>
      </c>
      <c r="H65" s="17">
        <f>A65*G65</f>
        <v>2520</v>
      </c>
      <c r="J65" s="2">
        <v>96</v>
      </c>
      <c r="K65" s="40">
        <v>0.05</v>
      </c>
      <c r="L65" s="2">
        <f>J65*K65</f>
        <v>4.8000000000000007</v>
      </c>
      <c r="N65" s="2">
        <f>J65+L65</f>
        <v>100.8</v>
      </c>
    </row>
    <row r="66" spans="1:14" s="2" customFormat="1" ht="45" customHeight="1">
      <c r="A66" s="81" t="s">
        <v>24</v>
      </c>
      <c r="B66" s="82"/>
      <c r="C66" s="82"/>
      <c r="D66" s="82"/>
      <c r="E66" s="82"/>
      <c r="F66" s="82"/>
      <c r="G66" s="18"/>
      <c r="H66" s="18"/>
      <c r="J66" s="2">
        <f>J62+J63+J64</f>
        <v>638.57000000000005</v>
      </c>
      <c r="K66" s="40"/>
      <c r="N66" s="2">
        <f>N62+N63</f>
        <v>604.12799999999993</v>
      </c>
    </row>
    <row r="67" spans="1:14" s="3" customFormat="1" ht="15.75">
      <c r="A67" s="19">
        <f>A62+A63+A64</f>
        <v>670.49849999999992</v>
      </c>
      <c r="B67" s="20" t="s">
        <v>25</v>
      </c>
      <c r="C67" s="83"/>
      <c r="D67" s="83"/>
      <c r="E67" s="83"/>
      <c r="F67" s="83"/>
      <c r="G67" s="20" t="s">
        <v>26</v>
      </c>
      <c r="H67" s="21">
        <f>H62+H63+H64+H65</f>
        <v>150029.67000000001</v>
      </c>
      <c r="K67" s="40"/>
      <c r="L67" s="2"/>
      <c r="N67" s="2"/>
    </row>
    <row r="68" spans="1:14" s="3" customFormat="1" ht="15.75">
      <c r="A68" s="19">
        <f>A65</f>
        <v>100.8</v>
      </c>
      <c r="B68" s="20" t="s">
        <v>27</v>
      </c>
      <c r="C68" s="84"/>
      <c r="D68" s="84"/>
      <c r="E68" s="84"/>
      <c r="F68" s="84"/>
      <c r="G68" s="85"/>
      <c r="H68" s="84"/>
      <c r="K68" s="40"/>
      <c r="L68" s="2"/>
      <c r="N68" s="2"/>
    </row>
    <row r="69" spans="1:14" s="58" customFormat="1" ht="15.75">
      <c r="A69" s="86"/>
      <c r="B69" s="86"/>
      <c r="C69" s="86"/>
      <c r="D69" s="86"/>
      <c r="E69" s="86"/>
      <c r="F69" s="86"/>
      <c r="G69" s="86"/>
      <c r="H69" s="86"/>
      <c r="K69" s="57"/>
      <c r="L69" s="56"/>
      <c r="N69" s="56"/>
    </row>
    <row r="70" spans="1:14" s="48" customFormat="1" ht="29.25" customHeight="1">
      <c r="A70" s="87" t="s">
        <v>125</v>
      </c>
      <c r="B70" s="87"/>
      <c r="C70" s="87"/>
      <c r="D70" s="87"/>
      <c r="E70" s="87"/>
      <c r="F70" s="87"/>
      <c r="G70" s="87"/>
      <c r="H70" s="87"/>
      <c r="J70" s="56"/>
      <c r="K70" s="57"/>
      <c r="L70" s="56"/>
      <c r="N70" s="56"/>
    </row>
    <row r="71" spans="1:14" s="52" customFormat="1" ht="15">
      <c r="A71" s="73" t="s">
        <v>10</v>
      </c>
      <c r="B71" s="50" t="s">
        <v>11</v>
      </c>
      <c r="C71" s="75" t="s">
        <v>12</v>
      </c>
      <c r="D71" s="75"/>
      <c r="E71" s="75"/>
      <c r="F71" s="75"/>
      <c r="G71" s="51" t="s">
        <v>13</v>
      </c>
      <c r="H71" s="51" t="s">
        <v>9</v>
      </c>
      <c r="I71" s="48"/>
      <c r="J71" s="56"/>
      <c r="K71" s="57"/>
      <c r="L71" s="56"/>
      <c r="N71" s="56"/>
    </row>
    <row r="72" spans="1:14" s="56" customFormat="1" ht="21.6" hidden="1" customHeight="1">
      <c r="A72" s="53">
        <v>0</v>
      </c>
      <c r="B72" s="54" t="s">
        <v>18</v>
      </c>
      <c r="C72" s="77" t="s">
        <v>28</v>
      </c>
      <c r="D72" s="78"/>
      <c r="E72" s="78"/>
      <c r="F72" s="79"/>
      <c r="G72" s="55">
        <f>R61</f>
        <v>220</v>
      </c>
      <c r="H72" s="17">
        <f t="shared" ref="H72:H73" si="15">G72*A72</f>
        <v>0</v>
      </c>
      <c r="I72" s="48"/>
      <c r="J72" s="56">
        <v>12</v>
      </c>
      <c r="K72" s="57">
        <v>0.1</v>
      </c>
      <c r="L72" s="56">
        <f t="shared" ref="L72:L73" si="16">J72*K72</f>
        <v>1.2000000000000002</v>
      </c>
      <c r="N72" s="56">
        <f t="shared" ref="N72:N73" si="17">J72+L72</f>
        <v>13.2</v>
      </c>
    </row>
    <row r="73" spans="1:14" s="56" customFormat="1" ht="21.6" customHeight="1">
      <c r="A73" s="53">
        <f>N73</f>
        <v>34.271999999999998</v>
      </c>
      <c r="B73" s="54" t="s">
        <v>18</v>
      </c>
      <c r="C73" s="80" t="s">
        <v>29</v>
      </c>
      <c r="D73" s="80"/>
      <c r="E73" s="80"/>
      <c r="F73" s="80"/>
      <c r="G73" s="55">
        <f>R61</f>
        <v>220</v>
      </c>
      <c r="H73" s="17">
        <f t="shared" si="15"/>
        <v>7539.8399999999992</v>
      </c>
      <c r="I73" s="48"/>
      <c r="J73" s="2">
        <v>32.64</v>
      </c>
      <c r="K73" s="57">
        <v>0.05</v>
      </c>
      <c r="L73" s="56">
        <f t="shared" si="16"/>
        <v>1.6320000000000001</v>
      </c>
      <c r="N73" s="56">
        <f t="shared" si="17"/>
        <v>34.271999999999998</v>
      </c>
    </row>
    <row r="74" spans="1:14" s="58" customFormat="1" ht="15.75">
      <c r="A74" s="19">
        <f>A73</f>
        <v>34.271999999999998</v>
      </c>
      <c r="B74" s="20" t="s">
        <v>25</v>
      </c>
      <c r="C74" s="83"/>
      <c r="D74" s="83"/>
      <c r="E74" s="83"/>
      <c r="F74" s="83"/>
      <c r="G74" s="20" t="s">
        <v>26</v>
      </c>
      <c r="H74" s="22">
        <f>H73</f>
        <v>7539.8399999999992</v>
      </c>
      <c r="I74" s="48"/>
      <c r="J74" s="56">
        <f>SUM(J72:J73)</f>
        <v>44.64</v>
      </c>
      <c r="K74" s="57"/>
      <c r="L74" s="56"/>
      <c r="M74" s="56"/>
      <c r="N74" s="56"/>
    </row>
    <row r="75" spans="1:14" s="48" customFormat="1">
      <c r="A75" s="100"/>
      <c r="B75" s="101"/>
      <c r="C75" s="101"/>
      <c r="D75" s="101"/>
      <c r="E75" s="101"/>
      <c r="F75" s="101"/>
      <c r="G75" s="101"/>
      <c r="H75" s="102"/>
    </row>
    <row r="76" spans="1:14" s="48" customFormat="1" ht="18">
      <c r="A76" s="74" t="s">
        <v>126</v>
      </c>
      <c r="B76" s="74"/>
      <c r="C76" s="74"/>
      <c r="D76" s="74"/>
      <c r="E76" s="74"/>
      <c r="F76" s="74"/>
      <c r="G76" s="74"/>
      <c r="H76" s="74"/>
      <c r="J76" s="56" t="e">
        <f>#REF!+#REF!</f>
        <v>#REF!</v>
      </c>
      <c r="K76" s="57"/>
      <c r="L76" s="56"/>
      <c r="N76" s="56"/>
    </row>
    <row r="77" spans="1:14" s="52" customFormat="1" ht="15">
      <c r="A77" s="73" t="s">
        <v>10</v>
      </c>
      <c r="B77" s="50" t="s">
        <v>11</v>
      </c>
      <c r="C77" s="75" t="s">
        <v>12</v>
      </c>
      <c r="D77" s="75"/>
      <c r="E77" s="75"/>
      <c r="F77" s="75"/>
      <c r="G77" s="51" t="s">
        <v>13</v>
      </c>
      <c r="H77" s="51" t="s">
        <v>9</v>
      </c>
      <c r="I77" s="48"/>
      <c r="J77" s="56"/>
      <c r="K77" s="57"/>
      <c r="L77" s="56"/>
      <c r="N77" s="56"/>
    </row>
    <row r="78" spans="1:14" s="56" customFormat="1" ht="36.6" customHeight="1">
      <c r="A78" s="67">
        <f>N78</f>
        <v>28.561</v>
      </c>
      <c r="B78" s="59" t="s">
        <v>18</v>
      </c>
      <c r="C78" s="103" t="s">
        <v>129</v>
      </c>
      <c r="D78" s="104"/>
      <c r="E78" s="104"/>
      <c r="F78" s="105"/>
      <c r="G78" s="55">
        <f>R61</f>
        <v>220</v>
      </c>
      <c r="H78" s="17">
        <f>G78*A78</f>
        <v>6283.42</v>
      </c>
      <c r="I78" s="48"/>
      <c r="J78" s="56">
        <v>21.97</v>
      </c>
      <c r="K78" s="57">
        <v>0.3</v>
      </c>
      <c r="L78" s="56">
        <f t="shared" ref="L78" si="18">J78*K78</f>
        <v>6.5909999999999993</v>
      </c>
      <c r="N78" s="56">
        <f t="shared" ref="N78" si="19">J78+L78</f>
        <v>28.561</v>
      </c>
    </row>
    <row r="79" spans="1:14" s="58" customFormat="1" ht="15.75">
      <c r="A79" s="19">
        <f>A78</f>
        <v>28.561</v>
      </c>
      <c r="B79" s="20" t="s">
        <v>25</v>
      </c>
      <c r="C79" s="83"/>
      <c r="D79" s="83"/>
      <c r="E79" s="83"/>
      <c r="F79" s="83"/>
      <c r="G79" s="20" t="s">
        <v>26</v>
      </c>
      <c r="H79" s="21">
        <f>H78</f>
        <v>6283.42</v>
      </c>
      <c r="I79" s="48"/>
      <c r="J79" s="56">
        <f>SUM(J78:J78)</f>
        <v>21.97</v>
      </c>
      <c r="K79" s="57"/>
      <c r="L79" s="56"/>
      <c r="M79" s="56"/>
      <c r="N79" s="56"/>
    </row>
    <row r="80" spans="1:14" s="48" customFormat="1">
      <c r="A80" s="100"/>
      <c r="B80" s="101"/>
      <c r="C80" s="101"/>
      <c r="D80" s="101"/>
      <c r="E80" s="101"/>
      <c r="F80" s="101"/>
      <c r="G80" s="101"/>
      <c r="H80" s="102"/>
    </row>
    <row r="81" spans="1:18" s="48" customFormat="1" ht="18.75" customHeight="1">
      <c r="A81" s="60">
        <f>A67+A74+A79</f>
        <v>733.33150000000001</v>
      </c>
      <c r="B81" s="71" t="s">
        <v>25</v>
      </c>
      <c r="C81" s="107" t="s">
        <v>130</v>
      </c>
      <c r="D81" s="107"/>
      <c r="E81" s="107"/>
      <c r="F81" s="107"/>
      <c r="G81" s="71" t="s">
        <v>26</v>
      </c>
      <c r="H81" s="61">
        <f>H67+H74+H79</f>
        <v>163852.93000000002</v>
      </c>
      <c r="K81" s="62"/>
    </row>
    <row r="82" spans="1:18" s="48" customFormat="1">
      <c r="A82" s="100"/>
      <c r="B82" s="101"/>
      <c r="C82" s="101"/>
      <c r="D82" s="101"/>
      <c r="E82" s="101"/>
      <c r="F82" s="101"/>
      <c r="G82" s="101"/>
      <c r="H82" s="102"/>
    </row>
    <row r="83" spans="1:18" s="48" customFormat="1" ht="18">
      <c r="A83" s="74" t="s">
        <v>153</v>
      </c>
      <c r="B83" s="74"/>
      <c r="C83" s="74"/>
      <c r="D83" s="74"/>
      <c r="E83" s="74"/>
      <c r="F83" s="74"/>
      <c r="G83" s="74"/>
      <c r="H83" s="74"/>
      <c r="R83" s="48" t="s">
        <v>9</v>
      </c>
    </row>
    <row r="84" spans="1:18" s="58" customFormat="1" ht="15.75">
      <c r="A84" s="86"/>
      <c r="B84" s="86"/>
      <c r="C84" s="86"/>
      <c r="D84" s="86"/>
      <c r="E84" s="86"/>
      <c r="F84" s="86"/>
      <c r="G84" s="86"/>
      <c r="H84" s="86"/>
      <c r="K84" s="57"/>
      <c r="L84" s="56"/>
      <c r="N84" s="56"/>
    </row>
    <row r="85" spans="1:18" s="48" customFormat="1" ht="29.25" customHeight="1">
      <c r="A85" s="87" t="s">
        <v>132</v>
      </c>
      <c r="B85" s="87"/>
      <c r="C85" s="87"/>
      <c r="D85" s="87"/>
      <c r="E85" s="87"/>
      <c r="F85" s="87"/>
      <c r="G85" s="87"/>
      <c r="H85" s="87"/>
      <c r="J85" s="56"/>
      <c r="K85" s="57"/>
      <c r="L85" s="56"/>
      <c r="N85" s="56"/>
    </row>
    <row r="86" spans="1:18" s="52" customFormat="1" ht="15">
      <c r="A86" s="73" t="s">
        <v>10</v>
      </c>
      <c r="B86" s="50" t="s">
        <v>11</v>
      </c>
      <c r="C86" s="75" t="s">
        <v>12</v>
      </c>
      <c r="D86" s="75"/>
      <c r="E86" s="75"/>
      <c r="F86" s="75"/>
      <c r="G86" s="51" t="s">
        <v>13</v>
      </c>
      <c r="H86" s="51" t="s">
        <v>9</v>
      </c>
      <c r="I86" s="48"/>
      <c r="J86" s="56"/>
      <c r="K86" s="57"/>
      <c r="L86" s="56"/>
      <c r="N86" s="56"/>
    </row>
    <row r="87" spans="1:18" s="56" customFormat="1" ht="21.6" hidden="1" customHeight="1">
      <c r="A87" s="53">
        <v>0</v>
      </c>
      <c r="B87" s="54" t="s">
        <v>18</v>
      </c>
      <c r="C87" s="77" t="s">
        <v>28</v>
      </c>
      <c r="D87" s="78"/>
      <c r="E87" s="78"/>
      <c r="F87" s="79"/>
      <c r="G87" s="55" t="e">
        <f>#REF!</f>
        <v>#REF!</v>
      </c>
      <c r="H87" s="17" t="e">
        <f t="shared" ref="H87:H88" si="20">G87*A87</f>
        <v>#REF!</v>
      </c>
      <c r="I87" s="48"/>
      <c r="J87" s="56">
        <v>12</v>
      </c>
      <c r="K87" s="57">
        <v>0.1</v>
      </c>
      <c r="L87" s="56">
        <f t="shared" ref="L87:L88" si="21">J87*K87</f>
        <v>1.2000000000000002</v>
      </c>
      <c r="N87" s="56">
        <f t="shared" ref="N87:N88" si="22">J87+L87</f>
        <v>13.2</v>
      </c>
    </row>
    <row r="88" spans="1:18" s="56" customFormat="1" ht="21.6" customHeight="1">
      <c r="A88" s="65">
        <f t="shared" ref="A88" si="23">N88</f>
        <v>11.55</v>
      </c>
      <c r="B88" s="54" t="s">
        <v>18</v>
      </c>
      <c r="C88" s="106" t="s">
        <v>30</v>
      </c>
      <c r="D88" s="106"/>
      <c r="E88" s="106"/>
      <c r="F88" s="106"/>
      <c r="G88" s="66">
        <v>220</v>
      </c>
      <c r="H88" s="17">
        <f t="shared" si="20"/>
        <v>2541</v>
      </c>
      <c r="I88" s="48"/>
      <c r="J88" s="2">
        <v>10.5</v>
      </c>
      <c r="K88" s="57">
        <v>0.1</v>
      </c>
      <c r="L88" s="56">
        <f t="shared" si="21"/>
        <v>1.05</v>
      </c>
      <c r="N88" s="56">
        <f t="shared" si="22"/>
        <v>11.55</v>
      </c>
    </row>
    <row r="89" spans="1:18" s="58" customFormat="1" ht="15.75">
      <c r="A89" s="19">
        <f>A88</f>
        <v>11.55</v>
      </c>
      <c r="B89" s="20" t="s">
        <v>25</v>
      </c>
      <c r="C89" s="83"/>
      <c r="D89" s="83"/>
      <c r="E89" s="83"/>
      <c r="F89" s="83"/>
      <c r="G89" s="20" t="s">
        <v>26</v>
      </c>
      <c r="H89" s="22">
        <f>H88</f>
        <v>2541</v>
      </c>
      <c r="I89" s="48"/>
      <c r="J89" s="56">
        <f>SUM(J87:J88)</f>
        <v>22.5</v>
      </c>
      <c r="K89" s="57"/>
      <c r="L89" s="56"/>
      <c r="M89" s="56"/>
      <c r="N89" s="56"/>
    </row>
    <row r="90" spans="1:18" s="48" customFormat="1">
      <c r="A90" s="100"/>
      <c r="B90" s="101"/>
      <c r="C90" s="101"/>
      <c r="D90" s="101"/>
      <c r="E90" s="101"/>
      <c r="F90" s="101"/>
      <c r="G90" s="101"/>
      <c r="H90" s="102"/>
    </row>
    <row r="91" spans="1:18" s="48" customFormat="1" ht="18">
      <c r="A91" s="74" t="s">
        <v>136</v>
      </c>
      <c r="B91" s="74"/>
      <c r="C91" s="74"/>
      <c r="D91" s="74"/>
      <c r="E91" s="74"/>
      <c r="F91" s="74"/>
      <c r="G91" s="74"/>
      <c r="H91" s="74"/>
      <c r="J91" s="56"/>
      <c r="K91" s="57"/>
      <c r="L91" s="56"/>
      <c r="N91" s="56"/>
    </row>
    <row r="92" spans="1:18" s="52" customFormat="1" ht="15">
      <c r="A92" s="73" t="s">
        <v>10</v>
      </c>
      <c r="B92" s="50" t="s">
        <v>11</v>
      </c>
      <c r="C92" s="75" t="s">
        <v>12</v>
      </c>
      <c r="D92" s="75"/>
      <c r="E92" s="75"/>
      <c r="F92" s="75"/>
      <c r="G92" s="51" t="s">
        <v>13</v>
      </c>
      <c r="H92" s="51" t="s">
        <v>9</v>
      </c>
      <c r="I92" s="48"/>
      <c r="J92" s="56"/>
      <c r="K92" s="57"/>
      <c r="L92" s="56"/>
      <c r="N92" s="56"/>
    </row>
    <row r="93" spans="1:18" s="2" customFormat="1" ht="30.75" customHeight="1">
      <c r="A93" s="68">
        <f>N93</f>
        <v>43.05</v>
      </c>
      <c r="B93" s="15" t="s">
        <v>18</v>
      </c>
      <c r="C93" s="76" t="s">
        <v>135</v>
      </c>
      <c r="D93" s="76"/>
      <c r="E93" s="76"/>
      <c r="F93" s="76"/>
      <c r="G93" s="16">
        <v>220</v>
      </c>
      <c r="H93" s="17">
        <f>G93*A93</f>
        <v>9471</v>
      </c>
      <c r="I93" s="1"/>
      <c r="J93" s="2">
        <v>41</v>
      </c>
      <c r="K93" s="40">
        <v>0.05</v>
      </c>
      <c r="L93" s="2">
        <f t="shared" ref="L93" si="24">J93*K93</f>
        <v>2.0500000000000003</v>
      </c>
      <c r="N93" s="2">
        <f t="shared" ref="N93" si="25">J93+L93</f>
        <v>43.05</v>
      </c>
    </row>
    <row r="94" spans="1:18" s="58" customFormat="1" ht="15.75">
      <c r="A94" s="19">
        <f>SUM(A93:A93)</f>
        <v>43.05</v>
      </c>
      <c r="B94" s="20" t="s">
        <v>25</v>
      </c>
      <c r="C94" s="83"/>
      <c r="D94" s="83"/>
      <c r="E94" s="83"/>
      <c r="F94" s="83"/>
      <c r="G94" s="20" t="s">
        <v>26</v>
      </c>
      <c r="H94" s="22">
        <f>H93</f>
        <v>9471</v>
      </c>
      <c r="I94" s="48"/>
      <c r="J94" s="56" t="e">
        <f>J93+#REF!+#REF!+#REF!+#REF!+#REF!+#REF!+#REF!+#REF!+#REF!+#REF!+#REF!</f>
        <v>#REF!</v>
      </c>
      <c r="K94" s="57"/>
      <c r="L94" s="56"/>
      <c r="M94" s="56"/>
      <c r="N94" s="56"/>
    </row>
    <row r="95" spans="1:18" s="48" customFormat="1">
      <c r="A95" s="100"/>
      <c r="B95" s="101"/>
      <c r="C95" s="101"/>
      <c r="D95" s="101"/>
      <c r="E95" s="101"/>
      <c r="F95" s="101"/>
      <c r="G95" s="101"/>
      <c r="H95" s="102"/>
    </row>
    <row r="96" spans="1:18" s="48" customFormat="1" ht="18.75" customHeight="1">
      <c r="A96" s="60">
        <f>A89+A94</f>
        <v>54.599999999999994</v>
      </c>
      <c r="B96" s="71" t="s">
        <v>25</v>
      </c>
      <c r="C96" s="107" t="s">
        <v>134</v>
      </c>
      <c r="D96" s="107"/>
      <c r="E96" s="107"/>
      <c r="F96" s="107"/>
      <c r="G96" s="71" t="s">
        <v>26</v>
      </c>
      <c r="H96" s="61">
        <f>H94+H89</f>
        <v>12012</v>
      </c>
      <c r="K96" s="62"/>
    </row>
    <row r="97" spans="1:15" s="48" customFormat="1" ht="15.75" customHeight="1">
      <c r="A97" s="100"/>
      <c r="B97" s="101"/>
      <c r="C97" s="101"/>
      <c r="D97" s="101"/>
      <c r="E97" s="101"/>
      <c r="F97" s="101"/>
      <c r="G97" s="101"/>
      <c r="H97" s="102"/>
    </row>
    <row r="98" spans="1:15" s="48" customFormat="1" ht="18" hidden="1">
      <c r="A98" s="74" t="s">
        <v>33</v>
      </c>
      <c r="B98" s="74"/>
      <c r="C98" s="74"/>
      <c r="D98" s="74"/>
      <c r="E98" s="74"/>
      <c r="F98" s="74"/>
      <c r="G98" s="74"/>
      <c r="H98" s="74"/>
      <c r="J98" s="56"/>
      <c r="K98" s="57"/>
      <c r="L98" s="56">
        <v>90</v>
      </c>
      <c r="M98" s="48" t="e">
        <f>#REF!/L98</f>
        <v>#REF!</v>
      </c>
      <c r="N98" s="56">
        <v>30</v>
      </c>
      <c r="O98" s="48" t="e">
        <f>N98*M98</f>
        <v>#REF!</v>
      </c>
    </row>
    <row r="99" spans="1:15" s="52" customFormat="1" ht="15" hidden="1">
      <c r="A99" s="73" t="s">
        <v>10</v>
      </c>
      <c r="B99" s="50" t="s">
        <v>11</v>
      </c>
      <c r="C99" s="75" t="s">
        <v>12</v>
      </c>
      <c r="D99" s="75"/>
      <c r="E99" s="75"/>
      <c r="F99" s="75"/>
      <c r="G99" s="51" t="s">
        <v>13</v>
      </c>
      <c r="H99" s="51" t="s">
        <v>9</v>
      </c>
      <c r="I99" s="48"/>
      <c r="J99" s="56"/>
      <c r="K99" s="57"/>
      <c r="L99" s="56"/>
      <c r="N99" s="56"/>
    </row>
    <row r="100" spans="1:15" s="2" customFormat="1" ht="22.5" hidden="1" customHeight="1">
      <c r="A100" s="68">
        <v>0</v>
      </c>
      <c r="B100" s="15" t="s">
        <v>18</v>
      </c>
      <c r="C100" s="76" t="s">
        <v>34</v>
      </c>
      <c r="D100" s="76"/>
      <c r="E100" s="76"/>
      <c r="F100" s="76"/>
      <c r="G100" s="16" t="e">
        <f>#REF!</f>
        <v>#REF!</v>
      </c>
      <c r="H100" s="17" t="e">
        <f>G100*A100</f>
        <v>#REF!</v>
      </c>
      <c r="I100" s="1"/>
      <c r="J100" s="2">
        <v>25.55</v>
      </c>
      <c r="K100" s="40">
        <v>0.05</v>
      </c>
      <c r="L100" s="2">
        <f t="shared" ref="L100" si="26">J100*K100</f>
        <v>1.2775000000000001</v>
      </c>
      <c r="N100" s="2">
        <f t="shared" ref="N100" si="27">J100+L100</f>
        <v>26.827500000000001</v>
      </c>
    </row>
    <row r="101" spans="1:15" s="58" customFormat="1" ht="15.75" hidden="1">
      <c r="A101" s="19">
        <f>SUM(A100:A100)</f>
        <v>0</v>
      </c>
      <c r="B101" s="20" t="s">
        <v>25</v>
      </c>
      <c r="C101" s="83"/>
      <c r="D101" s="83"/>
      <c r="E101" s="83"/>
      <c r="F101" s="83"/>
      <c r="G101" s="20" t="s">
        <v>26</v>
      </c>
      <c r="H101" s="22" t="e">
        <f>H100</f>
        <v>#REF!</v>
      </c>
      <c r="I101" s="48"/>
      <c r="J101" s="56" t="e">
        <f>J100+#REF!+#REF!+#REF!+#REF!+J26+#REF!+J24+J23+J17+J16+J15</f>
        <v>#REF!</v>
      </c>
      <c r="K101" s="57"/>
      <c r="L101" s="56"/>
      <c r="M101" s="56"/>
      <c r="N101" s="56"/>
    </row>
    <row r="102" spans="1:15" s="48" customFormat="1" ht="15.75" hidden="1" customHeight="1">
      <c r="A102" s="100"/>
      <c r="B102" s="101"/>
      <c r="C102" s="101"/>
      <c r="D102" s="101"/>
      <c r="E102" s="101"/>
      <c r="F102" s="101"/>
      <c r="G102" s="101"/>
      <c r="H102" s="102"/>
    </row>
    <row r="103" spans="1:15" s="48" customFormat="1" ht="21.75" customHeight="1">
      <c r="A103" s="60">
        <f>A96+A81+A58+A35</f>
        <v>2304.9944999999998</v>
      </c>
      <c r="B103" s="71" t="s">
        <v>25</v>
      </c>
      <c r="C103" s="107" t="s">
        <v>92</v>
      </c>
      <c r="D103" s="107"/>
      <c r="E103" s="107"/>
      <c r="F103" s="107"/>
      <c r="G103" s="71" t="s">
        <v>26</v>
      </c>
      <c r="H103" s="61">
        <f>H96+H81+H58+H35</f>
        <v>514658.79000000004</v>
      </c>
      <c r="K103" s="62"/>
    </row>
    <row r="104" spans="1:15" s="48" customFormat="1" ht="16.5" customHeight="1">
      <c r="A104" s="108"/>
      <c r="B104" s="108"/>
      <c r="C104" s="108"/>
      <c r="D104" s="108"/>
      <c r="E104" s="108"/>
      <c r="F104" s="108"/>
      <c r="G104" s="108"/>
      <c r="H104" s="108"/>
    </row>
    <row r="105" spans="1:15" s="1" customFormat="1" ht="18">
      <c r="A105" s="109" t="s">
        <v>36</v>
      </c>
      <c r="B105" s="109"/>
      <c r="C105" s="109"/>
      <c r="D105" s="109"/>
      <c r="E105" s="109"/>
      <c r="F105" s="109"/>
      <c r="G105" s="109"/>
      <c r="H105" s="109"/>
    </row>
    <row r="106" spans="1:15" s="1" customFormat="1" ht="15">
      <c r="A106" s="72" t="s">
        <v>10</v>
      </c>
      <c r="B106" s="12" t="s">
        <v>11</v>
      </c>
      <c r="C106" s="110" t="s">
        <v>37</v>
      </c>
      <c r="D106" s="110"/>
      <c r="E106" s="110"/>
      <c r="F106" s="110"/>
      <c r="G106" s="13" t="s">
        <v>13</v>
      </c>
      <c r="H106" s="13" t="s">
        <v>9</v>
      </c>
      <c r="J106" s="1">
        <v>1700</v>
      </c>
      <c r="K106" s="1">
        <f>J106/A108</f>
        <v>22.666666666666668</v>
      </c>
    </row>
    <row r="107" spans="1:15" s="1" customFormat="1" ht="53.1" customHeight="1">
      <c r="A107" s="23">
        <v>110</v>
      </c>
      <c r="B107" s="23" t="s">
        <v>22</v>
      </c>
      <c r="C107" s="128" t="s">
        <v>89</v>
      </c>
      <c r="D107" s="129"/>
      <c r="E107" s="129"/>
      <c r="F107" s="130"/>
      <c r="G107" s="24">
        <v>120</v>
      </c>
      <c r="H107" s="25">
        <f>A107*G107</f>
        <v>13200</v>
      </c>
    </row>
    <row r="108" spans="1:15" s="1" customFormat="1" ht="38.450000000000003" customHeight="1">
      <c r="A108" s="23">
        <v>75</v>
      </c>
      <c r="B108" s="23" t="s">
        <v>22</v>
      </c>
      <c r="C108" s="131" t="s">
        <v>90</v>
      </c>
      <c r="D108" s="131"/>
      <c r="E108" s="131"/>
      <c r="F108" s="131"/>
      <c r="G108" s="24">
        <v>60</v>
      </c>
      <c r="H108" s="25">
        <f>A108*G108</f>
        <v>4500</v>
      </c>
      <c r="J108"/>
      <c r="L108"/>
    </row>
    <row r="109" spans="1:15" s="1" customFormat="1" ht="42.95" customHeight="1">
      <c r="A109" s="15">
        <v>1</v>
      </c>
      <c r="B109" s="15" t="s">
        <v>40</v>
      </c>
      <c r="C109" s="132" t="s">
        <v>41</v>
      </c>
      <c r="D109" s="133"/>
      <c r="E109" s="133"/>
      <c r="F109" s="133"/>
      <c r="G109" s="24">
        <v>9000</v>
      </c>
      <c r="H109" s="25">
        <f>A109*G109</f>
        <v>9000</v>
      </c>
      <c r="J109"/>
      <c r="L109"/>
    </row>
    <row r="110" spans="1:15" s="48" customFormat="1" ht="15.75">
      <c r="A110" s="71"/>
      <c r="B110" s="71" t="s">
        <v>17</v>
      </c>
      <c r="C110" s="107" t="s">
        <v>93</v>
      </c>
      <c r="D110" s="107"/>
      <c r="E110" s="107"/>
      <c r="F110" s="107"/>
      <c r="G110" s="27" t="s">
        <v>43</v>
      </c>
      <c r="H110" s="28">
        <f>H107+H108+H109</f>
        <v>26700</v>
      </c>
    </row>
    <row r="111" spans="1:15" s="48" customFormat="1">
      <c r="A111" s="108"/>
      <c r="B111" s="108"/>
      <c r="C111" s="108"/>
      <c r="D111" s="108"/>
      <c r="E111" s="108"/>
      <c r="F111" s="108"/>
      <c r="G111" s="108"/>
      <c r="H111" s="108"/>
      <c r="J111" s="48" t="e">
        <f>#REF!-#REF!-#REF!</f>
        <v>#REF!</v>
      </c>
    </row>
    <row r="112" spans="1:15" s="1" customFormat="1" ht="18">
      <c r="A112" s="109" t="s">
        <v>36</v>
      </c>
      <c r="B112" s="109"/>
      <c r="C112" s="109"/>
      <c r="D112" s="109"/>
      <c r="E112" s="109"/>
      <c r="F112" s="109"/>
      <c r="G112" s="109"/>
      <c r="H112" s="109"/>
    </row>
    <row r="113" spans="1:12" s="1" customFormat="1" ht="15">
      <c r="A113" s="72" t="s">
        <v>10</v>
      </c>
      <c r="B113" s="12" t="s">
        <v>11</v>
      </c>
      <c r="C113" s="110" t="s">
        <v>37</v>
      </c>
      <c r="D113" s="110"/>
      <c r="E113" s="110"/>
      <c r="F113" s="110"/>
      <c r="G113" s="13" t="s">
        <v>13</v>
      </c>
      <c r="H113" s="13" t="s">
        <v>9</v>
      </c>
      <c r="J113" s="1">
        <v>1700</v>
      </c>
      <c r="K113" s="1">
        <f>J113/A115</f>
        <v>22.666666666666668</v>
      </c>
    </row>
    <row r="114" spans="1:12" s="1" customFormat="1" ht="53.1" customHeight="1">
      <c r="A114" s="23">
        <v>110</v>
      </c>
      <c r="B114" s="23" t="s">
        <v>22</v>
      </c>
      <c r="C114" s="128" t="s">
        <v>89</v>
      </c>
      <c r="D114" s="129"/>
      <c r="E114" s="129"/>
      <c r="F114" s="130"/>
      <c r="G114" s="24">
        <v>120</v>
      </c>
      <c r="H114" s="25">
        <f>A114*G114</f>
        <v>13200</v>
      </c>
    </row>
    <row r="115" spans="1:12" s="1" customFormat="1" ht="38.450000000000003" customHeight="1">
      <c r="A115" s="23">
        <v>75</v>
      </c>
      <c r="B115" s="23" t="s">
        <v>22</v>
      </c>
      <c r="C115" s="131" t="s">
        <v>90</v>
      </c>
      <c r="D115" s="131"/>
      <c r="E115" s="131"/>
      <c r="F115" s="131"/>
      <c r="G115" s="24">
        <v>60</v>
      </c>
      <c r="H115" s="25">
        <f>A115*G115</f>
        <v>4500</v>
      </c>
      <c r="J115"/>
      <c r="L115"/>
    </row>
    <row r="116" spans="1:12" s="1" customFormat="1" ht="42.95" customHeight="1">
      <c r="A116" s="15">
        <v>1</v>
      </c>
      <c r="B116" s="15" t="s">
        <v>40</v>
      </c>
      <c r="C116" s="132" t="s">
        <v>41</v>
      </c>
      <c r="D116" s="133"/>
      <c r="E116" s="133"/>
      <c r="F116" s="133"/>
      <c r="G116" s="24">
        <v>9000</v>
      </c>
      <c r="H116" s="25">
        <f>A116*G116</f>
        <v>9000</v>
      </c>
      <c r="J116"/>
      <c r="L116"/>
    </row>
    <row r="117" spans="1:12" s="48" customFormat="1" ht="15.75">
      <c r="A117" s="71"/>
      <c r="B117" s="71" t="s">
        <v>17</v>
      </c>
      <c r="C117" s="107" t="s">
        <v>137</v>
      </c>
      <c r="D117" s="107"/>
      <c r="E117" s="107"/>
      <c r="F117" s="107"/>
      <c r="G117" s="27" t="s">
        <v>43</v>
      </c>
      <c r="H117" s="28">
        <f>H114+H115+H116</f>
        <v>26700</v>
      </c>
    </row>
    <row r="118" spans="1:12" s="48" customFormat="1">
      <c r="A118" s="100"/>
      <c r="B118" s="101"/>
      <c r="C118" s="101"/>
      <c r="D118" s="101"/>
      <c r="E118" s="101"/>
      <c r="F118" s="101"/>
      <c r="G118" s="101"/>
      <c r="H118" s="102"/>
    </row>
    <row r="119" spans="1:12" s="1" customFormat="1" ht="18">
      <c r="A119" s="109" t="s">
        <v>36</v>
      </c>
      <c r="B119" s="109"/>
      <c r="C119" s="109"/>
      <c r="D119" s="109"/>
      <c r="E119" s="109"/>
      <c r="F119" s="109"/>
      <c r="G119" s="109"/>
      <c r="H119" s="109"/>
    </row>
    <row r="120" spans="1:12" s="1" customFormat="1" ht="15">
      <c r="A120" s="72" t="s">
        <v>10</v>
      </c>
      <c r="B120" s="12" t="s">
        <v>11</v>
      </c>
      <c r="C120" s="110" t="s">
        <v>37</v>
      </c>
      <c r="D120" s="110"/>
      <c r="E120" s="110"/>
      <c r="F120" s="110"/>
      <c r="G120" s="13" t="s">
        <v>13</v>
      </c>
      <c r="H120" s="13" t="s">
        <v>9</v>
      </c>
      <c r="J120" s="1">
        <v>1700</v>
      </c>
      <c r="K120" s="1">
        <f>J120/A122</f>
        <v>22.666666666666668</v>
      </c>
    </row>
    <row r="121" spans="1:12" s="1" customFormat="1" ht="53.1" customHeight="1">
      <c r="A121" s="23">
        <v>110</v>
      </c>
      <c r="B121" s="23" t="s">
        <v>22</v>
      </c>
      <c r="C121" s="128" t="s">
        <v>89</v>
      </c>
      <c r="D121" s="129"/>
      <c r="E121" s="129"/>
      <c r="F121" s="130"/>
      <c r="G121" s="24">
        <v>120</v>
      </c>
      <c r="H121" s="25">
        <f>A121*G121</f>
        <v>13200</v>
      </c>
    </row>
    <row r="122" spans="1:12" s="1" customFormat="1" ht="38.450000000000003" customHeight="1">
      <c r="A122" s="23">
        <v>75</v>
      </c>
      <c r="B122" s="23" t="s">
        <v>22</v>
      </c>
      <c r="C122" s="131" t="s">
        <v>90</v>
      </c>
      <c r="D122" s="131"/>
      <c r="E122" s="131"/>
      <c r="F122" s="131"/>
      <c r="G122" s="24">
        <v>60</v>
      </c>
      <c r="H122" s="25">
        <f>A122*G122</f>
        <v>4500</v>
      </c>
      <c r="J122"/>
      <c r="L122"/>
    </row>
    <row r="123" spans="1:12" s="1" customFormat="1" ht="42.95" customHeight="1">
      <c r="A123" s="15">
        <v>1</v>
      </c>
      <c r="B123" s="15" t="s">
        <v>40</v>
      </c>
      <c r="C123" s="132" t="s">
        <v>41</v>
      </c>
      <c r="D123" s="133"/>
      <c r="E123" s="133"/>
      <c r="F123" s="133"/>
      <c r="G123" s="24">
        <v>9000</v>
      </c>
      <c r="H123" s="25">
        <f>A123*G123</f>
        <v>9000</v>
      </c>
      <c r="J123"/>
      <c r="L123"/>
    </row>
    <row r="124" spans="1:12" s="48" customFormat="1" ht="15.75">
      <c r="A124" s="71"/>
      <c r="B124" s="71" t="s">
        <v>17</v>
      </c>
      <c r="C124" s="107" t="s">
        <v>138</v>
      </c>
      <c r="D124" s="107"/>
      <c r="E124" s="107"/>
      <c r="F124" s="107"/>
      <c r="G124" s="27" t="s">
        <v>43</v>
      </c>
      <c r="H124" s="28">
        <f>H121+H122+H123</f>
        <v>26700</v>
      </c>
    </row>
    <row r="125" spans="1:12" s="48" customFormat="1">
      <c r="A125" s="100"/>
      <c r="B125" s="101"/>
      <c r="C125" s="101"/>
      <c r="D125" s="101"/>
      <c r="E125" s="101"/>
      <c r="F125" s="101"/>
      <c r="G125" s="101"/>
      <c r="H125" s="102"/>
    </row>
    <row r="126" spans="1:12" s="48" customFormat="1" ht="21.75" customHeight="1">
      <c r="A126" s="60"/>
      <c r="B126" s="71"/>
      <c r="C126" s="107" t="s">
        <v>95</v>
      </c>
      <c r="D126" s="107"/>
      <c r="E126" s="107"/>
      <c r="F126" s="107"/>
      <c r="G126" s="71" t="s">
        <v>26</v>
      </c>
      <c r="H126" s="61">
        <f>H124+H117+H110</f>
        <v>80100</v>
      </c>
      <c r="K126" s="62"/>
    </row>
    <row r="127" spans="1:12" s="48" customFormat="1">
      <c r="A127" s="100"/>
      <c r="B127" s="101"/>
      <c r="C127" s="101"/>
      <c r="D127" s="101"/>
      <c r="E127" s="101"/>
      <c r="F127" s="101"/>
      <c r="G127" s="101"/>
      <c r="H127" s="102"/>
    </row>
    <row r="128" spans="1:12" s="48" customFormat="1" ht="15" customHeight="1">
      <c r="A128" s="111" t="s">
        <v>44</v>
      </c>
      <c r="B128" s="111"/>
      <c r="C128" s="111"/>
      <c r="D128" s="111"/>
      <c r="E128" s="111"/>
      <c r="F128" s="111"/>
      <c r="G128" s="111"/>
      <c r="H128" s="111"/>
    </row>
    <row r="129" spans="1:15" s="48" customFormat="1" ht="388.5" customHeight="1">
      <c r="A129" s="112"/>
      <c r="B129" s="113"/>
      <c r="C129" s="113"/>
      <c r="D129" s="113"/>
      <c r="E129" s="113"/>
      <c r="F129" s="113"/>
      <c r="G129" s="113"/>
      <c r="H129" s="114"/>
      <c r="J129" s="63"/>
    </row>
    <row r="130" spans="1:15" s="48" customFormat="1" ht="41.25" customHeight="1">
      <c r="A130" s="115"/>
      <c r="B130" s="116"/>
      <c r="C130" s="116"/>
      <c r="D130" s="116"/>
      <c r="E130" s="116"/>
      <c r="F130" s="116"/>
      <c r="G130" s="116"/>
      <c r="H130" s="117"/>
    </row>
    <row r="131" spans="1:15" ht="28.15" customHeight="1">
      <c r="A131" s="118" t="s">
        <v>45</v>
      </c>
      <c r="B131" s="119"/>
      <c r="C131" s="119"/>
      <c r="D131" s="119"/>
      <c r="E131" s="119"/>
      <c r="F131" s="120"/>
      <c r="G131" s="29" t="s">
        <v>43</v>
      </c>
      <c r="H131" s="30">
        <f>H103+H126</f>
        <v>594758.79</v>
      </c>
      <c r="J131" s="41"/>
    </row>
    <row r="132" spans="1:15" ht="28.15" hidden="1" customHeight="1">
      <c r="A132" s="121"/>
      <c r="B132" s="122"/>
      <c r="C132" s="122"/>
      <c r="D132" s="122"/>
      <c r="E132" s="122"/>
      <c r="F132" s="123"/>
      <c r="G132" s="29" t="s">
        <v>46</v>
      </c>
      <c r="H132" s="30">
        <v>0</v>
      </c>
      <c r="J132" s="42"/>
    </row>
    <row r="133" spans="1:15" ht="23.25" customHeight="1">
      <c r="A133" s="124"/>
      <c r="B133" s="125"/>
      <c r="C133" s="125"/>
      <c r="D133" s="125"/>
      <c r="E133" s="125"/>
      <c r="F133" s="126"/>
      <c r="G133" s="31" t="s">
        <v>47</v>
      </c>
      <c r="H133" s="32">
        <f>H131-H132</f>
        <v>594758.79</v>
      </c>
      <c r="J133" s="42"/>
    </row>
    <row r="134" spans="1:15" ht="21.95" customHeight="1">
      <c r="A134" s="74" t="s">
        <v>48</v>
      </c>
      <c r="B134" s="74"/>
      <c r="C134" s="127" t="s">
        <v>187</v>
      </c>
      <c r="D134" s="127"/>
      <c r="E134" s="127"/>
      <c r="F134" s="127"/>
      <c r="G134" s="33" t="s">
        <v>49</v>
      </c>
      <c r="H134" s="34">
        <f>9000*3.5</f>
        <v>31500</v>
      </c>
      <c r="I134" s="4">
        <v>9</v>
      </c>
      <c r="J134" s="43"/>
    </row>
    <row r="135" spans="1:15" ht="21.95" customHeight="1">
      <c r="A135" s="74"/>
      <c r="B135" s="74"/>
      <c r="C135" s="127"/>
      <c r="D135" s="127"/>
      <c r="E135" s="127"/>
      <c r="F135" s="127"/>
      <c r="G135" s="31" t="s">
        <v>50</v>
      </c>
      <c r="H135" s="30">
        <f>H133+H134</f>
        <v>626258.79</v>
      </c>
      <c r="J135" s="42"/>
    </row>
    <row r="136" spans="1:15" ht="21.95" customHeight="1">
      <c r="A136" s="74"/>
      <c r="B136" s="74"/>
      <c r="C136" s="127"/>
      <c r="D136" s="127"/>
      <c r="E136" s="127"/>
      <c r="F136" s="127"/>
      <c r="G136" s="33" t="s">
        <v>51</v>
      </c>
      <c r="H136" s="34">
        <f>H135*0.16</f>
        <v>100201.40640000001</v>
      </c>
      <c r="J136" s="43">
        <v>19</v>
      </c>
      <c r="K136" s="4">
        <f>H131*J136</f>
        <v>11300417.010000002</v>
      </c>
      <c r="O136" s="44">
        <f>H137*4</f>
        <v>2905840.7856000001</v>
      </c>
    </row>
    <row r="137" spans="1:15" ht="21.95" customHeight="1">
      <c r="A137" s="74"/>
      <c r="B137" s="74"/>
      <c r="C137" s="127"/>
      <c r="D137" s="127"/>
      <c r="E137" s="127"/>
      <c r="F137" s="127"/>
      <c r="G137" s="35" t="s">
        <v>52</v>
      </c>
      <c r="H137" s="36">
        <f>H135+H136</f>
        <v>726460.19640000002</v>
      </c>
      <c r="I137" s="44">
        <f>H137/A103</f>
        <v>315.16786543308456</v>
      </c>
      <c r="J137" s="45"/>
    </row>
    <row r="138" spans="1:15">
      <c r="A138" s="88"/>
      <c r="B138" s="88"/>
      <c r="C138" s="88"/>
      <c r="D138" s="88"/>
      <c r="E138" s="88"/>
      <c r="F138" s="88"/>
      <c r="G138" s="88"/>
      <c r="H138" s="88"/>
    </row>
    <row r="139" spans="1:15" ht="31.15" customHeight="1">
      <c r="A139" s="74" t="s">
        <v>53</v>
      </c>
      <c r="B139" s="74"/>
      <c r="C139" s="74"/>
      <c r="D139" s="74"/>
      <c r="E139" s="74"/>
      <c r="F139" s="74"/>
      <c r="G139" s="74"/>
      <c r="H139" s="74"/>
      <c r="J139" s="44"/>
    </row>
    <row r="140" spans="1:15" ht="12" customHeight="1">
      <c r="A140" s="134"/>
      <c r="B140" s="134"/>
      <c r="C140" s="134"/>
      <c r="D140" s="134"/>
      <c r="E140" s="134"/>
      <c r="F140" s="134"/>
      <c r="G140" s="134"/>
      <c r="H140" s="134"/>
      <c r="K140" s="44">
        <f>H133*12</f>
        <v>7137105.4800000004</v>
      </c>
    </row>
    <row r="141" spans="1:15" ht="30.75" customHeight="1" thickBot="1">
      <c r="A141" s="135" t="s">
        <v>54</v>
      </c>
      <c r="B141" s="135"/>
      <c r="C141" s="136" t="s">
        <v>55</v>
      </c>
      <c r="D141" s="136"/>
      <c r="E141" s="136"/>
      <c r="F141" s="136"/>
      <c r="G141" s="137" t="s">
        <v>56</v>
      </c>
      <c r="H141" s="137"/>
    </row>
    <row r="142" spans="1:15" ht="19.899999999999999" customHeight="1" thickBot="1">
      <c r="A142" s="138" t="s">
        <v>57</v>
      </c>
      <c r="B142" s="138"/>
      <c r="C142" s="136" t="s">
        <v>58</v>
      </c>
      <c r="D142" s="136"/>
      <c r="E142" s="136"/>
      <c r="F142" s="136"/>
      <c r="G142" s="139"/>
      <c r="H142" s="140"/>
      <c r="K142" s="64">
        <f>H137*3</f>
        <v>2179380.5892000003</v>
      </c>
    </row>
    <row r="143" spans="1:15" ht="27.6" customHeight="1">
      <c r="A143" s="142" t="s">
        <v>59</v>
      </c>
      <c r="B143" s="143"/>
      <c r="C143" s="37" t="s">
        <v>60</v>
      </c>
      <c r="D143" s="148">
        <f>H137*0.6</f>
        <v>435876.11784000002</v>
      </c>
      <c r="E143" s="148"/>
      <c r="F143" s="148"/>
      <c r="G143" s="149"/>
      <c r="H143" s="150"/>
    </row>
    <row r="144" spans="1:15" ht="33" customHeight="1">
      <c r="A144" s="144"/>
      <c r="B144" s="145"/>
      <c r="C144" s="37" t="s">
        <v>98</v>
      </c>
      <c r="D144" s="141">
        <f>H137*0.3</f>
        <v>217938.05892000001</v>
      </c>
      <c r="E144" s="141"/>
      <c r="F144" s="141"/>
      <c r="G144" s="151"/>
      <c r="H144" s="152"/>
      <c r="J144" s="44">
        <f>H137-'[1]CTZ 8T (altura 270.7)'!H66</f>
        <v>488158.84101280005</v>
      </c>
    </row>
    <row r="145" spans="1:13" ht="39" customHeight="1">
      <c r="A145" s="144"/>
      <c r="B145" s="145"/>
      <c r="C145" s="37" t="s">
        <v>99</v>
      </c>
      <c r="D145" s="141">
        <f>H137*0.1</f>
        <v>72646.019639999999</v>
      </c>
      <c r="E145" s="141"/>
      <c r="F145" s="141"/>
      <c r="G145" s="151"/>
      <c r="H145" s="152"/>
      <c r="J145" s="44"/>
    </row>
    <row r="146" spans="1:13" ht="28.5" customHeight="1">
      <c r="A146" s="144"/>
      <c r="B146" s="145"/>
      <c r="C146" s="155" t="s">
        <v>61</v>
      </c>
      <c r="D146" s="157">
        <f>D143+D144+D145</f>
        <v>726460.19640000002</v>
      </c>
      <c r="E146" s="158"/>
      <c r="F146" s="159"/>
      <c r="G146" s="153"/>
      <c r="H146" s="154"/>
      <c r="J146" s="46"/>
      <c r="M146" s="46">
        <f>D143*8</f>
        <v>3487008.9427200002</v>
      </c>
    </row>
    <row r="147" spans="1:13" ht="5.45" hidden="1" customHeight="1">
      <c r="A147" s="146"/>
      <c r="B147" s="147"/>
      <c r="C147" s="156"/>
      <c r="D147" s="160"/>
      <c r="E147" s="161"/>
      <c r="F147" s="162"/>
      <c r="G147" s="163" t="s">
        <v>62</v>
      </c>
      <c r="H147" s="164"/>
    </row>
    <row r="148" spans="1:13" ht="24.95" customHeight="1">
      <c r="A148" s="172" t="s">
        <v>63</v>
      </c>
      <c r="B148" s="173"/>
      <c r="C148" s="38" t="s">
        <v>100</v>
      </c>
      <c r="D148" s="167"/>
      <c r="E148" s="168"/>
      <c r="F148" s="169"/>
      <c r="G148" s="165" t="s">
        <v>155</v>
      </c>
      <c r="H148" s="166"/>
      <c r="J148" s="38">
        <v>75</v>
      </c>
    </row>
    <row r="149" spans="1:13" ht="24.95" customHeight="1">
      <c r="A149" s="174"/>
      <c r="B149" s="175"/>
      <c r="C149" s="38" t="s">
        <v>101</v>
      </c>
      <c r="D149" s="167"/>
      <c r="E149" s="168"/>
      <c r="F149" s="169"/>
      <c r="G149" s="165" t="s">
        <v>103</v>
      </c>
      <c r="H149" s="166"/>
      <c r="J149" s="38">
        <v>120</v>
      </c>
      <c r="L149" s="46"/>
    </row>
    <row r="150" spans="1:13" ht="33" customHeight="1">
      <c r="A150" s="174"/>
      <c r="B150" s="175"/>
      <c r="C150" s="38" t="s">
        <v>102</v>
      </c>
      <c r="D150" s="167"/>
      <c r="E150" s="168"/>
      <c r="F150" s="169"/>
      <c r="G150" s="191" t="s">
        <v>158</v>
      </c>
      <c r="H150" s="192"/>
      <c r="J150" s="38">
        <f t="shared" ref="J150" si="28">J149+15</f>
        <v>135</v>
      </c>
      <c r="L150" s="46"/>
    </row>
    <row r="151" spans="1:13" ht="24.95" hidden="1" customHeight="1">
      <c r="A151" s="174"/>
      <c r="B151" s="175"/>
      <c r="C151" s="38" t="s">
        <v>70</v>
      </c>
      <c r="D151" s="167"/>
      <c r="E151" s="168"/>
      <c r="F151" s="169"/>
      <c r="G151" s="165" t="s">
        <v>157</v>
      </c>
      <c r="H151" s="166"/>
      <c r="J151" s="38">
        <f>J150+15</f>
        <v>150</v>
      </c>
    </row>
    <row r="152" spans="1:13" ht="24.95" hidden="1" customHeight="1">
      <c r="A152" s="174"/>
      <c r="B152" s="175"/>
      <c r="C152" s="38" t="s">
        <v>70</v>
      </c>
      <c r="D152" s="167">
        <f>H137*2</f>
        <v>1452920.3928</v>
      </c>
      <c r="E152" s="168"/>
      <c r="F152" s="169"/>
      <c r="G152" s="165" t="s">
        <v>71</v>
      </c>
      <c r="H152" s="166"/>
      <c r="J152" s="47"/>
    </row>
    <row r="153" spans="1:13" ht="24.95" hidden="1" customHeight="1">
      <c r="A153" s="174"/>
      <c r="B153" s="175"/>
      <c r="C153" s="38" t="s">
        <v>72</v>
      </c>
      <c r="D153" s="167">
        <f>H137*2</f>
        <v>1452920.3928</v>
      </c>
      <c r="E153" s="168"/>
      <c r="F153" s="169"/>
      <c r="G153" s="165" t="s">
        <v>71</v>
      </c>
      <c r="H153" s="166"/>
      <c r="J153" s="47"/>
    </row>
    <row r="154" spans="1:13" ht="24.95" hidden="1" customHeight="1">
      <c r="A154" s="176"/>
      <c r="B154" s="177"/>
      <c r="C154" s="38" t="s">
        <v>73</v>
      </c>
      <c r="D154" s="167">
        <f>H137*3</f>
        <v>2179380.5892000003</v>
      </c>
      <c r="E154" s="168"/>
      <c r="F154" s="169"/>
      <c r="G154" s="165" t="s">
        <v>74</v>
      </c>
      <c r="H154" s="166"/>
      <c r="J154" s="47"/>
    </row>
    <row r="155" spans="1:13" ht="19.149999999999999" customHeight="1">
      <c r="A155" s="135" t="s">
        <v>75</v>
      </c>
      <c r="B155" s="135"/>
      <c r="C155" s="170" t="s">
        <v>76</v>
      </c>
      <c r="D155" s="170"/>
      <c r="E155" s="170"/>
      <c r="F155" s="170"/>
      <c r="G155" s="91"/>
      <c r="H155" s="171"/>
      <c r="J155" s="46">
        <f>SUM(D149:F151)</f>
        <v>0</v>
      </c>
    </row>
    <row r="156" spans="1:13" ht="10.15" customHeight="1">
      <c r="A156" s="88"/>
      <c r="B156" s="88"/>
      <c r="C156" s="88"/>
      <c r="D156" s="88"/>
      <c r="E156" s="88"/>
      <c r="F156" s="88"/>
      <c r="G156" s="189"/>
      <c r="H156" s="189"/>
      <c r="J156" s="46"/>
      <c r="K156" s="46"/>
    </row>
    <row r="157" spans="1:13" ht="117" customHeight="1">
      <c r="A157" s="137" t="s">
        <v>77</v>
      </c>
      <c r="B157" s="137"/>
      <c r="C157" s="190" t="s">
        <v>184</v>
      </c>
      <c r="D157" s="190"/>
      <c r="E157" s="190"/>
      <c r="F157" s="190"/>
      <c r="G157" s="190"/>
      <c r="H157" s="39"/>
      <c r="J157" s="46"/>
    </row>
    <row r="158" spans="1:13" ht="27" customHeight="1">
      <c r="A158" s="137"/>
      <c r="B158" s="137"/>
      <c r="C158" s="190" t="s">
        <v>78</v>
      </c>
      <c r="D158" s="190"/>
      <c r="E158" s="190"/>
      <c r="F158" s="190"/>
      <c r="G158" s="190"/>
      <c r="H158" s="39"/>
    </row>
    <row r="159" spans="1:13" ht="67.150000000000006" customHeight="1">
      <c r="A159" s="137"/>
      <c r="B159" s="137"/>
      <c r="C159" s="190" t="s">
        <v>96</v>
      </c>
      <c r="D159" s="190"/>
      <c r="E159" s="190"/>
      <c r="F159" s="190"/>
      <c r="G159" s="190"/>
      <c r="H159" s="39"/>
    </row>
    <row r="160" spans="1:13" ht="54" customHeight="1">
      <c r="A160" s="137"/>
      <c r="B160" s="137"/>
      <c r="C160" s="190" t="s">
        <v>80</v>
      </c>
      <c r="D160" s="190"/>
      <c r="E160" s="190"/>
      <c r="F160" s="190"/>
      <c r="G160" s="190"/>
      <c r="H160" s="39"/>
    </row>
    <row r="161" spans="1:8" ht="150.75" hidden="1" customHeight="1">
      <c r="A161" s="137"/>
      <c r="B161" s="137"/>
      <c r="C161" s="181" t="s">
        <v>81</v>
      </c>
      <c r="D161" s="182"/>
      <c r="E161" s="182"/>
      <c r="F161" s="182"/>
      <c r="G161" s="183"/>
      <c r="H161" s="39"/>
    </row>
    <row r="162" spans="1:8" ht="30" customHeight="1">
      <c r="A162" s="137"/>
      <c r="B162" s="137"/>
      <c r="C162" s="190" t="s">
        <v>82</v>
      </c>
      <c r="D162" s="190"/>
      <c r="E162" s="190"/>
      <c r="F162" s="190"/>
      <c r="G162" s="190"/>
      <c r="H162" s="39"/>
    </row>
    <row r="163" spans="1:8" ht="51" customHeight="1">
      <c r="A163" s="137"/>
      <c r="B163" s="137"/>
      <c r="C163" s="190" t="s">
        <v>83</v>
      </c>
      <c r="D163" s="190"/>
      <c r="E163" s="190"/>
      <c r="F163" s="190"/>
      <c r="G163" s="190"/>
      <c r="H163" s="39"/>
    </row>
    <row r="164" spans="1:8" ht="64.5" hidden="1" customHeight="1">
      <c r="A164" s="137"/>
      <c r="B164" s="137"/>
      <c r="C164" s="181" t="s">
        <v>84</v>
      </c>
      <c r="D164" s="182"/>
      <c r="E164" s="182"/>
      <c r="F164" s="182"/>
      <c r="G164" s="183"/>
      <c r="H164" s="39"/>
    </row>
    <row r="165" spans="1:8" ht="103.5" customHeight="1">
      <c r="A165" s="137"/>
      <c r="B165" s="137"/>
      <c r="C165" s="184" t="s">
        <v>85</v>
      </c>
      <c r="D165" s="184"/>
      <c r="E165" s="184"/>
      <c r="F165" s="184"/>
      <c r="G165" s="184"/>
      <c r="H165" s="39"/>
    </row>
    <row r="166" spans="1:8" ht="24.95" customHeight="1">
      <c r="A166" s="137"/>
      <c r="B166" s="137"/>
      <c r="C166" s="184" t="s">
        <v>86</v>
      </c>
      <c r="D166" s="184"/>
      <c r="E166" s="184"/>
      <c r="F166" s="184"/>
      <c r="G166" s="184"/>
      <c r="H166" s="39"/>
    </row>
    <row r="167" spans="1:8" ht="7.9" customHeight="1">
      <c r="A167" s="185"/>
      <c r="B167" s="185"/>
      <c r="C167" s="185"/>
      <c r="D167" s="185"/>
      <c r="E167" s="185"/>
      <c r="F167" s="185"/>
      <c r="G167" s="185"/>
      <c r="H167" s="185"/>
    </row>
    <row r="168" spans="1:8" ht="30" customHeight="1">
      <c r="A168" s="185"/>
      <c r="B168" s="185"/>
      <c r="C168" s="185"/>
      <c r="D168" s="185"/>
      <c r="E168" s="185"/>
      <c r="F168" s="185"/>
      <c r="G168" s="185"/>
      <c r="H168" s="185"/>
    </row>
    <row r="169" spans="1:8" ht="30" customHeight="1">
      <c r="A169" s="185"/>
      <c r="B169" s="185"/>
      <c r="C169" s="185"/>
      <c r="D169" s="185"/>
      <c r="E169" s="185"/>
      <c r="F169" s="185"/>
      <c r="G169" s="185"/>
      <c r="H169" s="185"/>
    </row>
    <row r="170" spans="1:8" ht="24" customHeight="1">
      <c r="A170" s="185"/>
      <c r="B170" s="185"/>
      <c r="C170" s="185"/>
      <c r="D170" s="185"/>
      <c r="E170" s="185"/>
      <c r="F170" s="185"/>
      <c r="G170" s="185"/>
      <c r="H170" s="185"/>
    </row>
    <row r="171" spans="1:8" ht="43.9" customHeight="1">
      <c r="A171" s="185"/>
      <c r="B171" s="185"/>
      <c r="C171" s="185"/>
      <c r="D171" s="185"/>
      <c r="E171" s="185"/>
      <c r="F171" s="185"/>
      <c r="G171" s="185"/>
      <c r="H171" s="185"/>
    </row>
    <row r="172" spans="1:8" ht="18">
      <c r="A172" s="186" t="s">
        <v>87</v>
      </c>
      <c r="B172" s="187"/>
      <c r="C172" s="187"/>
      <c r="D172" s="187"/>
      <c r="E172" s="187"/>
      <c r="F172" s="187"/>
      <c r="G172" s="187"/>
      <c r="H172" s="188"/>
    </row>
    <row r="173" spans="1:8">
      <c r="A173" s="178" t="s">
        <v>88</v>
      </c>
      <c r="B173" s="179"/>
      <c r="C173" s="179"/>
      <c r="D173" s="179"/>
      <c r="E173" s="179"/>
      <c r="F173" s="179"/>
      <c r="G173" s="179"/>
      <c r="H173" s="180"/>
    </row>
  </sheetData>
  <mergeCells count="190">
    <mergeCell ref="A168:H171"/>
    <mergeCell ref="A172:H172"/>
    <mergeCell ref="A173:H173"/>
    <mergeCell ref="C162:G162"/>
    <mergeCell ref="C163:G163"/>
    <mergeCell ref="C164:G164"/>
    <mergeCell ref="C165:G165"/>
    <mergeCell ref="C166:G166"/>
    <mergeCell ref="A167:H167"/>
    <mergeCell ref="A155:B155"/>
    <mergeCell ref="C155:F155"/>
    <mergeCell ref="G155:H155"/>
    <mergeCell ref="A156:H156"/>
    <mergeCell ref="A157:B166"/>
    <mergeCell ref="C157:G157"/>
    <mergeCell ref="C158:G158"/>
    <mergeCell ref="C159:G159"/>
    <mergeCell ref="C160:G160"/>
    <mergeCell ref="C161:G161"/>
    <mergeCell ref="D152:F152"/>
    <mergeCell ref="G152:H152"/>
    <mergeCell ref="D153:F153"/>
    <mergeCell ref="G153:H153"/>
    <mergeCell ref="D154:F154"/>
    <mergeCell ref="G154:H154"/>
    <mergeCell ref="G147:H147"/>
    <mergeCell ref="A148:B154"/>
    <mergeCell ref="D148:F148"/>
    <mergeCell ref="G148:H148"/>
    <mergeCell ref="D149:F149"/>
    <mergeCell ref="G149:H149"/>
    <mergeCell ref="D150:F150"/>
    <mergeCell ref="G150:H150"/>
    <mergeCell ref="D151:F151"/>
    <mergeCell ref="G151:H151"/>
    <mergeCell ref="A142:B142"/>
    <mergeCell ref="C142:F142"/>
    <mergeCell ref="G142:H142"/>
    <mergeCell ref="A143:B147"/>
    <mergeCell ref="D143:F143"/>
    <mergeCell ref="G143:H146"/>
    <mergeCell ref="D144:F144"/>
    <mergeCell ref="D145:F145"/>
    <mergeCell ref="C146:C147"/>
    <mergeCell ref="D146:F147"/>
    <mergeCell ref="A138:H138"/>
    <mergeCell ref="A139:H139"/>
    <mergeCell ref="A140:H140"/>
    <mergeCell ref="A141:B141"/>
    <mergeCell ref="C141:F141"/>
    <mergeCell ref="G141:H141"/>
    <mergeCell ref="C126:F126"/>
    <mergeCell ref="A127:H127"/>
    <mergeCell ref="A128:H128"/>
    <mergeCell ref="A129:H130"/>
    <mergeCell ref="A131:F133"/>
    <mergeCell ref="A134:B137"/>
    <mergeCell ref="C134:F137"/>
    <mergeCell ref="C120:F120"/>
    <mergeCell ref="C121:F121"/>
    <mergeCell ref="C122:F122"/>
    <mergeCell ref="C123:F123"/>
    <mergeCell ref="C124:F124"/>
    <mergeCell ref="A125:H125"/>
    <mergeCell ref="C114:F114"/>
    <mergeCell ref="C115:F115"/>
    <mergeCell ref="C116:F116"/>
    <mergeCell ref="C117:F117"/>
    <mergeCell ref="A118:H118"/>
    <mergeCell ref="A119:H119"/>
    <mergeCell ref="C108:F108"/>
    <mergeCell ref="C109:F109"/>
    <mergeCell ref="C110:F110"/>
    <mergeCell ref="A111:H111"/>
    <mergeCell ref="A112:H112"/>
    <mergeCell ref="C113:F113"/>
    <mergeCell ref="A102:H102"/>
    <mergeCell ref="C103:F103"/>
    <mergeCell ref="A104:H104"/>
    <mergeCell ref="A105:H105"/>
    <mergeCell ref="C106:F106"/>
    <mergeCell ref="C107:F107"/>
    <mergeCell ref="C96:F96"/>
    <mergeCell ref="A97:H97"/>
    <mergeCell ref="A98:H98"/>
    <mergeCell ref="C99:F99"/>
    <mergeCell ref="C100:F100"/>
    <mergeCell ref="C101:F101"/>
    <mergeCell ref="A90:H90"/>
    <mergeCell ref="A91:H91"/>
    <mergeCell ref="C92:F92"/>
    <mergeCell ref="C93:F93"/>
    <mergeCell ref="C94:F94"/>
    <mergeCell ref="A95:H95"/>
    <mergeCell ref="A84:H84"/>
    <mergeCell ref="A85:H85"/>
    <mergeCell ref="C86:F86"/>
    <mergeCell ref="C87:F87"/>
    <mergeCell ref="C88:F88"/>
    <mergeCell ref="C89:F89"/>
    <mergeCell ref="C78:F78"/>
    <mergeCell ref="C79:F79"/>
    <mergeCell ref="A80:H80"/>
    <mergeCell ref="C81:F81"/>
    <mergeCell ref="A82:H82"/>
    <mergeCell ref="A83:H83"/>
    <mergeCell ref="C72:F72"/>
    <mergeCell ref="C73:F73"/>
    <mergeCell ref="C74:F74"/>
    <mergeCell ref="A75:H75"/>
    <mergeCell ref="A76:H76"/>
    <mergeCell ref="C77:F77"/>
    <mergeCell ref="A66:F66"/>
    <mergeCell ref="C67:F67"/>
    <mergeCell ref="C68:H68"/>
    <mergeCell ref="A69:H69"/>
    <mergeCell ref="A70:H70"/>
    <mergeCell ref="C71:F71"/>
    <mergeCell ref="A60:H60"/>
    <mergeCell ref="C61:F61"/>
    <mergeCell ref="C62:F62"/>
    <mergeCell ref="C63:F63"/>
    <mergeCell ref="C64:F64"/>
    <mergeCell ref="C65:F65"/>
    <mergeCell ref="C54:F54"/>
    <mergeCell ref="C55:F55"/>
    <mergeCell ref="C56:F56"/>
    <mergeCell ref="A57:H57"/>
    <mergeCell ref="C58:F58"/>
    <mergeCell ref="A59:H59"/>
    <mergeCell ref="C48:F48"/>
    <mergeCell ref="C49:F49"/>
    <mergeCell ref="C50:F50"/>
    <mergeCell ref="C51:F51"/>
    <mergeCell ref="A52:H52"/>
    <mergeCell ref="A53:H53"/>
    <mergeCell ref="C42:F42"/>
    <mergeCell ref="A43:F43"/>
    <mergeCell ref="C44:F44"/>
    <mergeCell ref="C45:H45"/>
    <mergeCell ref="A46:H46"/>
    <mergeCell ref="A47:H47"/>
    <mergeCell ref="A36:H36"/>
    <mergeCell ref="A37:H37"/>
    <mergeCell ref="C38:F38"/>
    <mergeCell ref="C39:F39"/>
    <mergeCell ref="C40:F40"/>
    <mergeCell ref="C41:F41"/>
    <mergeCell ref="A30:H30"/>
    <mergeCell ref="C31:F31"/>
    <mergeCell ref="C32:F32"/>
    <mergeCell ref="C33:F33"/>
    <mergeCell ref="A34:H34"/>
    <mergeCell ref="C35:F35"/>
    <mergeCell ref="A24:H24"/>
    <mergeCell ref="A25:H25"/>
    <mergeCell ref="C26:F26"/>
    <mergeCell ref="C27:F27"/>
    <mergeCell ref="C28:F28"/>
    <mergeCell ref="A29:H29"/>
    <mergeCell ref="A18:H18"/>
    <mergeCell ref="A19:H19"/>
    <mergeCell ref="C20:F20"/>
    <mergeCell ref="C21:F21"/>
    <mergeCell ref="C22:F22"/>
    <mergeCell ref="C23:F23"/>
    <mergeCell ref="C12:F12"/>
    <mergeCell ref="C13:F13"/>
    <mergeCell ref="C14:F14"/>
    <mergeCell ref="A15:F15"/>
    <mergeCell ref="C16:F16"/>
    <mergeCell ref="C17:H17"/>
    <mergeCell ref="A7:B7"/>
    <mergeCell ref="C7:F7"/>
    <mergeCell ref="A8:H8"/>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s>
  <hyperlinks>
    <hyperlink ref="H7" r:id="rId1" xr:uid="{C39AE589-7DE2-4390-BE76-F986E808E5CC}"/>
  </hyperlinks>
  <printOptions horizontalCentered="1"/>
  <pageMargins left="3.937007874015748E-2" right="3.937007874015748E-2" top="0.35433070866141736" bottom="0.35433070866141736" header="0.31496062992125984" footer="0.31496062992125984"/>
  <pageSetup scale="60" fitToHeight="0" orientation="portrait" r:id="rId2"/>
  <rowBreaks count="8" manualBreakCount="8">
    <brk id="35" max="7" man="1"/>
    <brk id="58" max="7" man="1"/>
    <brk id="81" max="7" man="1"/>
    <brk id="103" max="7" man="1"/>
    <brk id="126" max="7" man="1"/>
    <brk id="130" max="7" man="1"/>
    <brk id="155" max="7" man="1"/>
    <brk id="173"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DAF33A1CAC883449B5BBD0FBF822BC1" ma:contentTypeVersion="10" ma:contentTypeDescription="Crear nuevo documento." ma:contentTypeScope="" ma:versionID="f958885dbeda7894cc7cdd387e37c1d0">
  <xsd:schema xmlns:xsd="http://www.w3.org/2001/XMLSchema" xmlns:xs="http://www.w3.org/2001/XMLSchema" xmlns:p="http://schemas.microsoft.com/office/2006/metadata/properties" xmlns:ns2="3127066b-9cde-4812-8d54-8b28d4311050" xmlns:ns3="f837ea0d-cae6-4c6f-840c-17dd79c87ae5" targetNamespace="http://schemas.microsoft.com/office/2006/metadata/properties" ma:root="true" ma:fieldsID="be9c70bfea870974f090b5d4aa55d2d2" ns2:_="" ns3:_="">
    <xsd:import namespace="3127066b-9cde-4812-8d54-8b28d4311050"/>
    <xsd:import namespace="f837ea0d-cae6-4c6f-840c-17dd79c87a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27066b-9cde-4812-8d54-8b28d43110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3cc70b3-40e2-4473-832f-85343e566f9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37ea0d-cae6-4c6f-840c-17dd79c87ae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5f5ae9-5a51-42b9-aa4b-2f1677ff2fac}" ma:internalName="TaxCatchAll" ma:showField="CatchAllData" ma:web="f837ea0d-cae6-4c6f-840c-17dd79c87a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27066b-9cde-4812-8d54-8b28d4311050">
      <Terms xmlns="http://schemas.microsoft.com/office/infopath/2007/PartnerControls"/>
    </lcf76f155ced4ddcb4097134ff3c332f>
    <TaxCatchAll xmlns="f837ea0d-cae6-4c6f-840c-17dd79c87ae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13840B-2AA2-4FF5-8531-D3FF3C1AA7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27066b-9cde-4812-8d54-8b28d4311050"/>
    <ds:schemaRef ds:uri="f837ea0d-cae6-4c6f-840c-17dd79c87a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1947A5-2FA9-454E-B6D2-10708EE28BC4}">
  <ds:schemaRefs>
    <ds:schemaRef ds:uri="http://www.w3.org/XML/1998/namespace"/>
    <ds:schemaRef ds:uri="3127066b-9cde-4812-8d54-8b28d4311050"/>
    <ds:schemaRef ds:uri="http://schemas.openxmlformats.org/package/2006/metadata/core-properties"/>
    <ds:schemaRef ds:uri="http://schemas.microsoft.com/office/2006/metadata/properties"/>
    <ds:schemaRef ds:uri="f837ea0d-cae6-4c6f-840c-17dd79c87ae5"/>
    <ds:schemaRef ds:uri="http://purl.org/dc/elements/1.1/"/>
    <ds:schemaRef ds:uri="http://schemas.microsoft.com/office/2006/documentManagement/types"/>
    <ds:schemaRef ds:uri="http://purl.org/dc/term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6EB37ADD-F806-4B5A-B905-D9521445A5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24</vt:i4>
      </vt:variant>
    </vt:vector>
  </HeadingPairs>
  <TitlesOfParts>
    <vt:vector size="37" baseType="lpstr">
      <vt:lpstr>CTZ 283-1 DUPLX+ADC COM 1000</vt:lpstr>
      <vt:lpstr>CTZ 283-2 DUPLX+ADC COM 500</vt:lpstr>
      <vt:lpstr>CTZ 283-3 DUPLxNIV COM 1000</vt:lpstr>
      <vt:lpstr>CTZ 283-4 DUPLxNIV COM 500 </vt:lpstr>
      <vt:lpstr>CTZ 283-5 3DUP+add un COM 1000</vt:lpstr>
      <vt:lpstr>CTZ 283-6 3DUP+add un COM 500</vt:lpstr>
      <vt:lpstr>Hoja5</vt:lpstr>
      <vt:lpstr>CTZ 283-7 DUPLX+ADC BAS 1000</vt:lpstr>
      <vt:lpstr>CTZ 283-8 DUPLX+ADC BAS 500</vt:lpstr>
      <vt:lpstr>CTZ 283-9 DUPLxNIV BAS 1000 </vt:lpstr>
      <vt:lpstr>CTZ 283-10 DUPLxNIV BAS 500</vt:lpstr>
      <vt:lpstr>CTZ 283-11 3DUP+add un bas 1000</vt:lpstr>
      <vt:lpstr>CTZ 283-12 3DUP+add un BAS 500</vt:lpstr>
      <vt:lpstr>'CTZ 283-1 DUPLX+ADC COM 1000'!Área_de_impresión</vt:lpstr>
      <vt:lpstr>'CTZ 283-10 DUPLxNIV BAS 500'!Área_de_impresión</vt:lpstr>
      <vt:lpstr>'CTZ 283-11 3DUP+add un bas 1000'!Área_de_impresión</vt:lpstr>
      <vt:lpstr>'CTZ 283-12 3DUP+add un BAS 500'!Área_de_impresión</vt:lpstr>
      <vt:lpstr>'CTZ 283-2 DUPLX+ADC COM 500'!Área_de_impresión</vt:lpstr>
      <vt:lpstr>'CTZ 283-3 DUPLxNIV COM 1000'!Área_de_impresión</vt:lpstr>
      <vt:lpstr>'CTZ 283-4 DUPLxNIV COM 500 '!Área_de_impresión</vt:lpstr>
      <vt:lpstr>'CTZ 283-5 3DUP+add un COM 1000'!Área_de_impresión</vt:lpstr>
      <vt:lpstr>'CTZ 283-6 3DUP+add un COM 500'!Área_de_impresión</vt:lpstr>
      <vt:lpstr>'CTZ 283-7 DUPLX+ADC BAS 1000'!Área_de_impresión</vt:lpstr>
      <vt:lpstr>'CTZ 283-8 DUPLX+ADC BAS 500'!Área_de_impresión</vt:lpstr>
      <vt:lpstr>'CTZ 283-9 DUPLxNIV BAS 1000 '!Área_de_impresión</vt:lpstr>
      <vt:lpstr>'CTZ 283-1 DUPLX+ADC COM 1000'!Títulos_a_imprimir</vt:lpstr>
      <vt:lpstr>'CTZ 283-10 DUPLxNIV BAS 500'!Títulos_a_imprimir</vt:lpstr>
      <vt:lpstr>'CTZ 283-11 3DUP+add un bas 1000'!Títulos_a_imprimir</vt:lpstr>
      <vt:lpstr>'CTZ 283-12 3DUP+add un BAS 500'!Títulos_a_imprimir</vt:lpstr>
      <vt:lpstr>'CTZ 283-2 DUPLX+ADC COM 500'!Títulos_a_imprimir</vt:lpstr>
      <vt:lpstr>'CTZ 283-3 DUPLxNIV COM 1000'!Títulos_a_imprimir</vt:lpstr>
      <vt:lpstr>'CTZ 283-4 DUPLxNIV COM 500 '!Títulos_a_imprimir</vt:lpstr>
      <vt:lpstr>'CTZ 283-5 3DUP+add un COM 1000'!Títulos_a_imprimir</vt:lpstr>
      <vt:lpstr>'CTZ 283-6 3DUP+add un COM 500'!Títulos_a_imprimir</vt:lpstr>
      <vt:lpstr>'CTZ 283-7 DUPLX+ADC BAS 1000'!Títulos_a_imprimir</vt:lpstr>
      <vt:lpstr>'CTZ 283-8 DUPLX+ADC BAS 500'!Títulos_a_imprimir</vt:lpstr>
      <vt:lpstr>'CTZ 283-9 DUPLxNIV BAS 1000 '!Títulos_a_imprimir</vt:lpstr>
    </vt:vector>
  </TitlesOfParts>
  <Manager/>
  <Company>Final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carlosmora</dc:creator>
  <cp:keywords/>
  <dc:description/>
  <cp:lastModifiedBy>Rafael Pineda</cp:lastModifiedBy>
  <cp:revision/>
  <cp:lastPrinted>2026-10-28T20:30:38Z</cp:lastPrinted>
  <dcterms:created xsi:type="dcterms:W3CDTF">2007-05-28T21:44:00Z</dcterms:created>
  <dcterms:modified xsi:type="dcterms:W3CDTF">2026-10-28T20:31:04Z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40504DBEDAC6469080EC8BEFAA62C813_13</vt:lpwstr>
  </property>
  <property fmtid="{D5CDD505-2E9C-101B-9397-08002B2CF9AE}" pid="3" name="KSOProductBuildVer">
    <vt:lpwstr>2058-12.2.0.20326</vt:lpwstr>
  </property>
  <property fmtid="{D5CDD505-2E9C-101B-9397-08002B2CF9AE}" pid="4" name="ContentTypeId">
    <vt:lpwstr>0x010100FDAF33A1CAC883449B5BBD0FBF822BC1</vt:lpwstr>
  </property>
  <property fmtid="{D5CDD505-2E9C-101B-9397-08002B2CF9AE}" pid="5" name="MediaServiceImageTags">
    <vt:lpwstr/>
  </property>
</Properties>
</file>