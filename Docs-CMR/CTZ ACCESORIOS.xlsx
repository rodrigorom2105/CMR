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CMR\Downloads\280- INDHECA ACCESORIOS PARROQUIA 1\"/>
    </mc:Choice>
  </mc:AlternateContent>
  <xr:revisionPtr revIDLastSave="0" documentId="13_ncr:1_{82512524-2537-44DD-848C-E34F7ED09CE9}" xr6:coauthVersionLast="47" xr6:coauthVersionMax="47" xr10:uidLastSave="{00000000-0000-0000-0000-000000000000}"/>
  <bookViews>
    <workbookView xWindow="0" yWindow="0" windowWidth="15345" windowHeight="3270" firstSheet="4" activeTab="4" xr2:uid="{00000000-000D-0000-FFFF-FFFF00000000}"/>
  </bookViews>
  <sheets>
    <sheet name="CTZ 255-1" sheetId="20" r:id="rId1"/>
    <sheet name="CTZ 255-2" sheetId="21" r:id="rId2"/>
    <sheet name="CTZ 255-3" sheetId="22" r:id="rId3"/>
    <sheet name="CTZ 255-4" sheetId="23" r:id="rId4"/>
    <sheet name="CTZ 280-4 (2)" sheetId="24" r:id="rId5"/>
  </sheets>
  <definedNames>
    <definedName name="_xlnm.Print_Area" localSheetId="0">'CTZ 255-1'!$A$1:$I$54</definedName>
    <definedName name="_xlnm.Print_Area" localSheetId="1">'CTZ 255-2'!$A$1:$I$54</definedName>
    <definedName name="_xlnm.Print_Area" localSheetId="2">'CTZ 255-3'!$A$1:$I$54</definedName>
    <definedName name="_xlnm.Print_Area" localSheetId="3">'CTZ 255-4'!$A$1:$I$54</definedName>
    <definedName name="_xlnm.Print_Area" localSheetId="4">'CTZ 280-4 (2)'!$A$1:$I$54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24" l="1"/>
  <c r="M47" i="24"/>
  <c r="L38" i="24"/>
  <c r="M33" i="24"/>
  <c r="I32" i="24"/>
  <c r="I31" i="24"/>
  <c r="I30" i="24"/>
  <c r="L29" i="24"/>
  <c r="M29" i="24" s="1"/>
  <c r="H29" i="24" s="1"/>
  <c r="I29" i="24" s="1"/>
  <c r="L28" i="24"/>
  <c r="M28" i="24" s="1"/>
  <c r="H28" i="24" s="1"/>
  <c r="I28" i="24" s="1"/>
  <c r="L27" i="24"/>
  <c r="M27" i="24" s="1"/>
  <c r="H27" i="24" s="1"/>
  <c r="I27" i="24" s="1"/>
  <c r="L26" i="24"/>
  <c r="M26" i="24" s="1"/>
  <c r="H26" i="24" s="1"/>
  <c r="I26" i="24" s="1"/>
  <c r="L25" i="24"/>
  <c r="M25" i="24" s="1"/>
  <c r="I25" i="24"/>
  <c r="L24" i="24"/>
  <c r="M24" i="24" s="1"/>
  <c r="I24" i="24"/>
  <c r="L23" i="24"/>
  <c r="M23" i="24" s="1"/>
  <c r="I23" i="24"/>
  <c r="I22" i="24"/>
  <c r="K21" i="24"/>
  <c r="I21" i="24"/>
  <c r="I20" i="24"/>
  <c r="I19" i="24"/>
  <c r="I18" i="24"/>
  <c r="I33" i="24" s="1"/>
  <c r="I17" i="24"/>
  <c r="H16" i="24"/>
  <c r="I16" i="24" s="1"/>
  <c r="I15" i="24"/>
  <c r="H14" i="24"/>
  <c r="I14" i="24" s="1"/>
  <c r="H13" i="24"/>
  <c r="I13" i="24" s="1"/>
  <c r="I12" i="24"/>
  <c r="O11" i="24"/>
  <c r="H11" i="24"/>
  <c r="I11" i="24" s="1"/>
  <c r="L7" i="24"/>
  <c r="C2" i="24"/>
  <c r="I36" i="24" l="1"/>
  <c r="I37" i="24" s="1"/>
  <c r="I39" i="24" s="1"/>
  <c r="L50" i="23"/>
  <c r="M47" i="23"/>
  <c r="L38" i="23"/>
  <c r="M33" i="23"/>
  <c r="I32" i="23"/>
  <c r="I31" i="23"/>
  <c r="I30" i="23"/>
  <c r="L29" i="23"/>
  <c r="M29" i="23" s="1"/>
  <c r="H29" i="23" s="1"/>
  <c r="I29" i="23" s="1"/>
  <c r="L28" i="23"/>
  <c r="M28" i="23" s="1"/>
  <c r="H28" i="23" s="1"/>
  <c r="I28" i="23" s="1"/>
  <c r="L27" i="23"/>
  <c r="M27" i="23" s="1"/>
  <c r="H27" i="23" s="1"/>
  <c r="I27" i="23" s="1"/>
  <c r="L26" i="23"/>
  <c r="M26" i="23" s="1"/>
  <c r="H26" i="23" s="1"/>
  <c r="I26" i="23" s="1"/>
  <c r="L25" i="23"/>
  <c r="M25" i="23" s="1"/>
  <c r="I25" i="23"/>
  <c r="L24" i="23"/>
  <c r="M24" i="23" s="1"/>
  <c r="I24" i="23"/>
  <c r="L23" i="23"/>
  <c r="M23" i="23" s="1"/>
  <c r="I23" i="23"/>
  <c r="I22" i="23"/>
  <c r="K21" i="23"/>
  <c r="I21" i="23"/>
  <c r="I20" i="23"/>
  <c r="I19" i="23"/>
  <c r="I18" i="23"/>
  <c r="I17" i="23"/>
  <c r="H16" i="23"/>
  <c r="I16" i="23" s="1"/>
  <c r="I15" i="23"/>
  <c r="H14" i="23"/>
  <c r="I14" i="23" s="1"/>
  <c r="H13" i="23"/>
  <c r="I13" i="23" s="1"/>
  <c r="I12" i="23"/>
  <c r="O11" i="23"/>
  <c r="H11" i="23"/>
  <c r="I11" i="23" s="1"/>
  <c r="L7" i="23"/>
  <c r="C2" i="23"/>
  <c r="L50" i="22"/>
  <c r="M47" i="22"/>
  <c r="L38" i="22"/>
  <c r="M33" i="22"/>
  <c r="I32" i="22"/>
  <c r="I31" i="22"/>
  <c r="I30" i="22"/>
  <c r="L29" i="22"/>
  <c r="M29" i="22" s="1"/>
  <c r="H29" i="22" s="1"/>
  <c r="I29" i="22" s="1"/>
  <c r="L28" i="22"/>
  <c r="M28" i="22" s="1"/>
  <c r="H28" i="22" s="1"/>
  <c r="I28" i="22" s="1"/>
  <c r="L27" i="22"/>
  <c r="M27" i="22" s="1"/>
  <c r="H27" i="22" s="1"/>
  <c r="I27" i="22" s="1"/>
  <c r="L26" i="22"/>
  <c r="M26" i="22" s="1"/>
  <c r="H26" i="22" s="1"/>
  <c r="I26" i="22" s="1"/>
  <c r="L25" i="22"/>
  <c r="M25" i="22" s="1"/>
  <c r="I25" i="22"/>
  <c r="L24" i="22"/>
  <c r="M24" i="22" s="1"/>
  <c r="I24" i="22"/>
  <c r="L23" i="22"/>
  <c r="M23" i="22" s="1"/>
  <c r="I23" i="22"/>
  <c r="I22" i="22"/>
  <c r="K21" i="22"/>
  <c r="I21" i="22"/>
  <c r="I20" i="22"/>
  <c r="I19" i="22"/>
  <c r="I18" i="22"/>
  <c r="I17" i="22"/>
  <c r="H16" i="22"/>
  <c r="I16" i="22" s="1"/>
  <c r="I15" i="22"/>
  <c r="H14" i="22"/>
  <c r="I14" i="22" s="1"/>
  <c r="H13" i="22"/>
  <c r="I13" i="22" s="1"/>
  <c r="I12" i="22"/>
  <c r="O11" i="22"/>
  <c r="H11" i="22"/>
  <c r="I11" i="22" s="1"/>
  <c r="L7" i="22"/>
  <c r="C2" i="22"/>
  <c r="L50" i="21"/>
  <c r="M47" i="21"/>
  <c r="M33" i="21"/>
  <c r="I32" i="21"/>
  <c r="I31" i="21"/>
  <c r="I30" i="21"/>
  <c r="L29" i="21"/>
  <c r="M29" i="21" s="1"/>
  <c r="H29" i="21" s="1"/>
  <c r="I29" i="21" s="1"/>
  <c r="L28" i="21"/>
  <c r="M28" i="21" s="1"/>
  <c r="H28" i="21" s="1"/>
  <c r="I28" i="21" s="1"/>
  <c r="L27" i="21"/>
  <c r="M27" i="21" s="1"/>
  <c r="H27" i="21" s="1"/>
  <c r="I27" i="21" s="1"/>
  <c r="L26" i="21"/>
  <c r="M26" i="21" s="1"/>
  <c r="H26" i="21" s="1"/>
  <c r="I26" i="21" s="1"/>
  <c r="L25" i="21"/>
  <c r="M25" i="21" s="1"/>
  <c r="I25" i="21"/>
  <c r="L24" i="21"/>
  <c r="M24" i="21" s="1"/>
  <c r="I24" i="21"/>
  <c r="L23" i="21"/>
  <c r="M23" i="21" s="1"/>
  <c r="I23" i="21"/>
  <c r="I22" i="21"/>
  <c r="K21" i="21"/>
  <c r="I21" i="21"/>
  <c r="I20" i="21"/>
  <c r="I19" i="21"/>
  <c r="I18" i="21"/>
  <c r="I17" i="21"/>
  <c r="H16" i="21"/>
  <c r="I16" i="21" s="1"/>
  <c r="I15" i="21"/>
  <c r="H14" i="21"/>
  <c r="I14" i="21" s="1"/>
  <c r="H13" i="21"/>
  <c r="I13" i="21" s="1"/>
  <c r="I12" i="21"/>
  <c r="O11" i="21"/>
  <c r="H11" i="21"/>
  <c r="I11" i="21" s="1"/>
  <c r="L7" i="21"/>
  <c r="C2" i="21"/>
  <c r="I40" i="24" l="1"/>
  <c r="I41" i="24"/>
  <c r="I33" i="23"/>
  <c r="I36" i="23" s="1"/>
  <c r="I37" i="23" s="1"/>
  <c r="I33" i="22"/>
  <c r="I36" i="22" s="1"/>
  <c r="I37" i="22" s="1"/>
  <c r="I38" i="22" s="1"/>
  <c r="I33" i="21"/>
  <c r="I36" i="21" s="1"/>
  <c r="I37" i="21" s="1"/>
  <c r="I38" i="21" s="1"/>
  <c r="H11" i="20"/>
  <c r="I11" i="20" s="1"/>
  <c r="O11" i="20"/>
  <c r="I12" i="20"/>
  <c r="H13" i="20"/>
  <c r="I13" i="20" s="1"/>
  <c r="H14" i="20"/>
  <c r="I14" i="20" s="1"/>
  <c r="I15" i="20"/>
  <c r="H16" i="20"/>
  <c r="I16" i="20" s="1"/>
  <c r="I17" i="20"/>
  <c r="J40" i="24" l="1"/>
  <c r="J21" i="24" s="1"/>
  <c r="E47" i="24"/>
  <c r="I39" i="23"/>
  <c r="I39" i="22"/>
  <c r="I40" i="22" s="1"/>
  <c r="I41" i="22" s="1"/>
  <c r="J38" i="21"/>
  <c r="L38" i="21" s="1"/>
  <c r="I39" i="21"/>
  <c r="I40" i="21" s="1"/>
  <c r="I41" i="21" s="1"/>
  <c r="I20" i="20"/>
  <c r="I40" i="23" l="1"/>
  <c r="I41" i="23" s="1"/>
  <c r="E47" i="22"/>
  <c r="J40" i="22"/>
  <c r="J21" i="22" s="1"/>
  <c r="E47" i="21"/>
  <c r="J40" i="21"/>
  <c r="J21" i="21" s="1"/>
  <c r="L50" i="20"/>
  <c r="E47" i="23" l="1"/>
  <c r="J40" i="23"/>
  <c r="J21" i="23" s="1"/>
  <c r="L38" i="20"/>
  <c r="M47" i="20"/>
  <c r="I21" i="20" l="1"/>
  <c r="K21" i="20" l="1"/>
  <c r="I19" i="20"/>
  <c r="I18" i="20"/>
  <c r="L7" i="20" l="1"/>
  <c r="I32" i="20"/>
  <c r="M33" i="20" l="1"/>
  <c r="L27" i="20" l="1"/>
  <c r="L28" i="20"/>
  <c r="L26" i="20"/>
  <c r="M26" i="20" l="1"/>
  <c r="H26" i="20" s="1"/>
  <c r="M27" i="20"/>
  <c r="H27" i="20" s="1"/>
  <c r="M28" i="20"/>
  <c r="H28" i="20" s="1"/>
  <c r="L29" i="20"/>
  <c r="M29" i="20" s="1"/>
  <c r="H29" i="20" s="1"/>
  <c r="L23" i="20"/>
  <c r="M23" i="20" s="1"/>
  <c r="L24" i="20"/>
  <c r="M24" i="20" s="1"/>
  <c r="L25" i="20"/>
  <c r="M25" i="20" s="1"/>
  <c r="I29" i="20" l="1"/>
  <c r="I28" i="20"/>
  <c r="I27" i="20"/>
  <c r="I26" i="20"/>
  <c r="I22" i="20"/>
  <c r="I23" i="20"/>
  <c r="I24" i="20"/>
  <c r="I25" i="20"/>
  <c r="I30" i="20" l="1"/>
  <c r="I31" i="20"/>
  <c r="I33" i="20" s="1"/>
  <c r="I36" i="20" s="1"/>
  <c r="C2" i="20"/>
  <c r="I37" i="20" l="1"/>
  <c r="I38" i="20" l="1"/>
  <c r="I39" i="20" s="1"/>
  <c r="I40" i="20" s="1"/>
  <c r="I41" i="20" s="1"/>
  <c r="J40" i="20" l="1"/>
  <c r="J21" i="20" s="1"/>
  <c r="E47" i="20"/>
</calcChain>
</file>

<file path=xl/sharedStrings.xml><?xml version="1.0" encoding="utf-8"?>
<sst xmlns="http://schemas.openxmlformats.org/spreadsheetml/2006/main" count="501" uniqueCount="99">
  <si>
    <t xml:space="preserve">COTIZACION </t>
  </si>
  <si>
    <t xml:space="preserve">FT-CTZ-01                    </t>
  </si>
  <si>
    <t xml:space="preserve">FECHA: </t>
  </si>
  <si>
    <t>Nº CTZ</t>
  </si>
  <si>
    <t>255-01-26</t>
  </si>
  <si>
    <t>PRODUCTO COTIZADO:</t>
  </si>
  <si>
    <t>ACCESORIOS</t>
  </si>
  <si>
    <t>REFERENCIA</t>
  </si>
  <si>
    <t xml:space="preserve">CORBATAS </t>
  </si>
  <si>
    <t>PAIS - CIUDAD</t>
  </si>
  <si>
    <t>MEXICO / VERACRUZ</t>
  </si>
  <si>
    <t>CLIENTE:</t>
  </si>
  <si>
    <t>INDHECA GRUPO CONSTRUCTOR S.A DE C.V</t>
  </si>
  <si>
    <t>CONTACTO:</t>
  </si>
  <si>
    <t>ING. RAMON ROLDAN</t>
  </si>
  <si>
    <t>CONTACTO</t>
  </si>
  <si>
    <t>(+52) 14423941655</t>
  </si>
  <si>
    <t xml:space="preserve">ACCESORIOS </t>
  </si>
  <si>
    <t>CANT.</t>
  </si>
  <si>
    <t>UND MEDIDA</t>
  </si>
  <si>
    <t>CONCEPTO</t>
  </si>
  <si>
    <t>PRECIO/UNIT</t>
  </si>
  <si>
    <t>PRECIO</t>
  </si>
  <si>
    <t>LOTE</t>
  </si>
  <si>
    <r>
      <t>FABRICACION DE LOTE DE PIEZAS PARA COMPLEMENTAR MOLDE GENERAL</t>
    </r>
    <r>
      <rPr>
        <sz val="12"/>
        <color theme="1"/>
        <rFont val="Arial"/>
        <family val="2"/>
      </rPr>
      <t xml:space="preserve"> PROTOTIPO ALTAMIRA INCLUYE JUEGO DE TAPALLAVES</t>
    </r>
    <r>
      <rPr>
        <sz val="12"/>
        <rFont val="Arial"/>
        <family val="2"/>
      </rPr>
      <t xml:space="preserve"> (11 PZA)</t>
    </r>
  </si>
  <si>
    <r>
      <t xml:space="preserve">SISTEMA DE ALINEACION  TIPO ROSCA MARIPOSA PARA MOLDE </t>
    </r>
    <r>
      <rPr>
        <sz val="12"/>
        <color theme="1"/>
        <rFont val="Arial"/>
        <family val="2"/>
      </rPr>
      <t>PROTOTIPO ALTAMIRA</t>
    </r>
  </si>
  <si>
    <r>
      <t xml:space="preserve">MANTENIMIENTO Y REPARACION DE PIEZAS </t>
    </r>
    <r>
      <rPr>
        <b/>
        <sz val="12"/>
        <rFont val="Arial"/>
        <family val="2"/>
      </rPr>
      <t>(EQM Y EQMT)</t>
    </r>
    <r>
      <rPr>
        <sz val="12"/>
        <rFont val="Arial"/>
        <family val="2"/>
      </rPr>
      <t xml:space="preserve"> (COLOCACION DE PLATINA FALTANTE - SOLDADURA) </t>
    </r>
    <r>
      <rPr>
        <sz val="12"/>
        <color theme="1"/>
        <rFont val="Arial"/>
        <family val="2"/>
      </rPr>
      <t>(91 PZA)</t>
    </r>
  </si>
  <si>
    <r>
      <t xml:space="preserve">FABRICACION DE LOTE DE PIEZAS PARA PRETIL,DE MOLDE </t>
    </r>
    <r>
      <rPr>
        <sz val="12"/>
        <color theme="1"/>
        <rFont val="Arial"/>
        <family val="2"/>
      </rPr>
      <t>PROTOTIPO ALTAMIRA</t>
    </r>
    <r>
      <rPr>
        <sz val="12"/>
        <rFont val="Arial"/>
        <family val="2"/>
      </rPr>
      <t xml:space="preserve"> (122 PZA)</t>
    </r>
  </si>
  <si>
    <t>JUEGO DE ESQUELETOS PARA ESCALERA (ANGULOS 2 UNIDADES)</t>
  </si>
  <si>
    <t>PIEZAS PARA ESCALERA (PELDAÑOS) (8 PIEZAS)</t>
  </si>
  <si>
    <t>ML</t>
  </si>
  <si>
    <t>JUEGO DE CUCHILLA PARA TODO EL MOLDE</t>
  </si>
  <si>
    <t>PZ</t>
  </si>
  <si>
    <t>PIN</t>
  </si>
  <si>
    <t xml:space="preserve">CUÑA </t>
  </si>
  <si>
    <t>CORBATA MURO DE 10CM</t>
  </si>
  <si>
    <t>CORBATA DE MURO DOBLE 10CM CON JUNTA DE 5 CM</t>
  </si>
  <si>
    <t>PUNTAL DE 3.0 MT NUEVOS</t>
  </si>
  <si>
    <t>CERCHA DE 10 CM X 265CM</t>
  </si>
  <si>
    <t>CERCHA DE 10 CM X 290CM</t>
  </si>
  <si>
    <t>CERCHA DE 10 CM X 150CM</t>
  </si>
  <si>
    <t>PLATAFORMA ANTIDERRAPANTE 50*230CM</t>
  </si>
  <si>
    <t xml:space="preserve">PLATAFORMA ANTIDERRAPANTE 50*165CM </t>
  </si>
  <si>
    <t xml:space="preserve">PLATAFORMA  ANTIDERRAPANTE 50*80CM </t>
  </si>
  <si>
    <t>MENSULA PARA PARA ANDAMIOS ESTANDAR</t>
  </si>
  <si>
    <t>ALINEADORES DE CAPS TIPO 1.00 (PROTECCION VACIADO)</t>
  </si>
  <si>
    <t>ALINEADORES DE CAPS TIPO 1.20 (PROTECCION VACIADO)</t>
  </si>
  <si>
    <t>SERVICIO DE RECOLECCION DE PIEZAS A MANTENIMIENTO 
(1 SERVICIO)</t>
  </si>
  <si>
    <t>TOTAL</t>
  </si>
  <si>
    <t xml:space="preserve">TOTAL ACCESORIOS </t>
  </si>
  <si>
    <t>SUBTOTAL</t>
  </si>
  <si>
    <t>SUB TOTAL</t>
  </si>
  <si>
    <t>IMPORTE CON LETRA:</t>
  </si>
  <si>
    <t>SUB TOTAL 1</t>
  </si>
  <si>
    <t xml:space="preserve">SON: </t>
  </si>
  <si>
    <t>ONCE MIL SETECIENTOS DIEZ Y NUEVE DOLARES 60/100 USD</t>
  </si>
  <si>
    <t>FLETE</t>
  </si>
  <si>
    <t>SUB TOTAL 2</t>
  </si>
  <si>
    <t>IVA</t>
  </si>
  <si>
    <t>TOTAL USD</t>
  </si>
  <si>
    <t>CONDICIONES COMERCIALES</t>
  </si>
  <si>
    <t>OBSERVACIONES</t>
  </si>
  <si>
    <r>
      <t xml:space="preserve">
</t>
    </r>
    <r>
      <rPr>
        <b/>
        <sz val="11"/>
        <color rgb="FFFF0000"/>
        <rFont val="Arial"/>
        <family val="2"/>
      </rPr>
      <t xml:space="preserve">IMPORTANTE: </t>
    </r>
    <r>
      <rPr>
        <b/>
        <sz val="11"/>
        <color theme="1"/>
        <rFont val="Arial"/>
        <family val="2"/>
      </rPr>
      <t>EN EL CASO DE PIN Y CUÑA SE COTIZO LA CANTIDAD DISPONIBLE EN MEXICO PARA ENTREGA INMEDIATA</t>
    </r>
  </si>
  <si>
    <t>VIGENCIA CTZ:</t>
  </si>
  <si>
    <t>8  DIAS A PARTIR DE LA FECHA</t>
  </si>
  <si>
    <t>GARANTIA:</t>
  </si>
  <si>
    <t>N/A</t>
  </si>
  <si>
    <t>FIRMA DE APROBACION DEL CLIENTE:</t>
  </si>
  <si>
    <t>FORMA DE PAGO</t>
  </si>
  <si>
    <t>ANTICIPO</t>
  </si>
  <si>
    <t>TIEMPO DE PRODUCCION  /ENTREGA</t>
  </si>
  <si>
    <t>8 DIAS</t>
  </si>
  <si>
    <t>LUEGO DE RECIBIR  PAGO</t>
  </si>
  <si>
    <t>15 dias</t>
  </si>
  <si>
    <t>PARA ACCESORIOS DE FABRICAION RESALTADOS EN COLOR GRIS</t>
  </si>
  <si>
    <t>TIEMPO DE TRANSITO</t>
  </si>
  <si>
    <t>NOMBRE:</t>
  </si>
  <si>
    <t>CONDICIONES GENERALES</t>
  </si>
  <si>
    <t>CARLOS A. MORA RESTREPO</t>
  </si>
  <si>
    <t>CMR COMERCIALIZADORA SA DE CV</t>
  </si>
  <si>
    <t>255-02-26</t>
  </si>
  <si>
    <t>CORBATA DE MURO DOBLE 10CM CON JUNTA DE 2.5 CM</t>
  </si>
  <si>
    <t>SIETE MIL TRESCIENTOS VENTI SIETE DOLARES, 86/10 USD</t>
  </si>
  <si>
    <r>
      <t xml:space="preserve">
</t>
    </r>
    <r>
      <rPr>
        <b/>
        <sz val="11"/>
        <color rgb="FFFF0000"/>
        <rFont val="Arial"/>
        <family val="2"/>
      </rPr>
      <t xml:space="preserve">IMPORTANTE: </t>
    </r>
    <r>
      <rPr>
        <b/>
        <sz val="11"/>
        <color theme="1"/>
        <rFont val="Arial"/>
        <family val="2"/>
      </rPr>
      <t xml:space="preserve"> LAS CORBATAS SE ENCUENTRA DE ENTREGA INMEDIATA UNA VEZ RECIBIDA LA OC.</t>
    </r>
  </si>
  <si>
    <t>CONTADO</t>
  </si>
  <si>
    <t>1 DIAS</t>
  </si>
  <si>
    <t>3 A 4 DIAS POR PAQUETERIA</t>
  </si>
  <si>
    <t>255-03-26</t>
  </si>
  <si>
    <t xml:space="preserve">PIN Y CUÑA </t>
  </si>
  <si>
    <t>CUATRO CUATRO CIENTEOS NOVENTA Y NUEVE DOLARES 05/100 USD</t>
  </si>
  <si>
    <r>
      <t xml:space="preserve">
</t>
    </r>
    <r>
      <rPr>
        <b/>
        <sz val="11"/>
        <color rgb="FFFF0000"/>
        <rFont val="Arial"/>
        <family val="2"/>
      </rPr>
      <t xml:space="preserve">IMPORTANTE: </t>
    </r>
    <r>
      <rPr>
        <b/>
        <sz val="11"/>
        <color theme="1"/>
        <rFont val="Arial"/>
        <family val="2"/>
      </rPr>
      <t>ESTOS ACCESORIOS SON DE IMPORTACION, NO SE TIENEN DE ENTREGA INMEDIATA.</t>
    </r>
  </si>
  <si>
    <t>90 DIAS</t>
  </si>
  <si>
    <r>
      <t xml:space="preserve">PINY CUÑA DE </t>
    </r>
    <r>
      <rPr>
        <b/>
        <sz val="12"/>
        <color rgb="FFFF0000"/>
        <rFont val="Arial"/>
        <family val="2"/>
      </rPr>
      <t>RESGUARDO</t>
    </r>
  </si>
  <si>
    <t>CUATRO MIL CIENTO OCHO DOLARES 72/100 USD</t>
  </si>
  <si>
    <r>
      <t xml:space="preserve">
</t>
    </r>
    <r>
      <rPr>
        <b/>
        <sz val="11"/>
        <color rgb="FFFF0000"/>
        <rFont val="Arial"/>
        <family val="2"/>
      </rPr>
      <t xml:space="preserve">IMPORTANTE: </t>
    </r>
    <r>
      <rPr>
        <b/>
        <sz val="11"/>
        <color theme="1"/>
        <rFont val="Arial"/>
        <family val="2"/>
      </rPr>
      <t xml:space="preserve">ESTOS ACCESORIOS ESTABAN EN RESGUARDO EN ALMACEN Y FUERON USADO POR EL CLIENTE, QUEDANDO PENDIENTE SU LEGALIZACION POR MEDIO DE UNA OC. </t>
    </r>
  </si>
  <si>
    <t>280-01-26</t>
  </si>
  <si>
    <t>PORTA ALINEADORES</t>
  </si>
  <si>
    <t>MIL SETECIENTOS SETENTA Y UNO CON 23/100 DOLARES AMERICANOS</t>
  </si>
  <si>
    <r>
      <t xml:space="preserve">
</t>
    </r>
    <r>
      <rPr>
        <b/>
        <sz val="11"/>
        <color rgb="FFFF0000"/>
        <rFont val="Arial"/>
        <family val="2"/>
      </rPr>
      <t xml:space="preserve">IMPORTANTE: </t>
    </r>
    <r>
      <rPr>
        <b/>
        <sz val="11"/>
        <color theme="1"/>
        <rFont val="Arial"/>
        <family val="2"/>
      </rPr>
      <t>NO INCLUYE FLETE DE ENTREGA.
PREGUNTAR POR DISPONIBILIDAD DEL MATERIAL UNA VEZ SE TOME LA DECISION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</si>
</sst>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(&quot;B/.&quot;\ * #,##0.00_);_(&quot;B/.&quot;\ * \(#,##0.00\);_(&quot;B/.&quot;\ * &quot;-&quot;??_);_(@_)"/>
    <numFmt numFmtId="167" formatCode="_-[$$-409]* #,##0.00_ ;_-[$$-409]* \-#,##0.00\ ;_-[$$-409]* &quot;-&quot;??_ ;_-@_ "/>
    <numFmt numFmtId="168" formatCode="[$USD]\ #,##0.00"/>
    <numFmt numFmtId="169" formatCode="[$USD]\ #,##0.00;\-[$USD]\ #,##0.00"/>
    <numFmt numFmtId="170" formatCode="_-[$$-80A]* #,##0.00_-;\-[$$-80A]* #,##0.00_-;_-[$$-80A]* &quot;-&quot;??_-;_-@_-"/>
    <numFmt numFmtId="171" formatCode="0.000"/>
    <numFmt numFmtId="172" formatCode="_-[$USD]\ * #,##0.00_-;\-[$USD]\ * #,##0.00_-;_-[$USD]\ * &quot;-&quot;??_-;_-@_-"/>
    <numFmt numFmtId="173" formatCode="0.00000"/>
  </numFmts>
  <fonts count="25">
    <font>
      <sz val="10"/>
      <name val="Arial"/>
      <charset val="134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4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3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23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511703848384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165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14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4" applyFont="1" applyAlignment="1">
      <alignment vertical="center"/>
    </xf>
    <xf numFmtId="167" fontId="5" fillId="2" borderId="1" xfId="3" applyNumberFormat="1" applyFont="1" applyFill="1" applyBorder="1" applyAlignment="1">
      <alignment horizontal="center" vertical="center"/>
    </xf>
    <xf numFmtId="170" fontId="0" fillId="0" borderId="0" xfId="4" applyNumberFormat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0" xfId="4" applyFont="1"/>
    <xf numFmtId="0" fontId="11" fillId="0" borderId="0" xfId="0" applyFont="1" applyAlignment="1">
      <alignment horizontal="center"/>
    </xf>
    <xf numFmtId="165" fontId="18" fillId="0" borderId="0" xfId="1" applyFont="1" applyFill="1" applyBorder="1" applyAlignment="1">
      <alignment horizontal="center" vertical="center"/>
    </xf>
    <xf numFmtId="165" fontId="13" fillId="0" borderId="0" xfId="1" applyFont="1"/>
    <xf numFmtId="165" fontId="19" fillId="0" borderId="0" xfId="1" applyFont="1" applyFill="1" applyBorder="1" applyAlignment="1">
      <alignment horizontal="center"/>
    </xf>
    <xf numFmtId="0" fontId="13" fillId="0" borderId="0" xfId="0" applyFont="1"/>
    <xf numFmtId="43" fontId="0" fillId="0" borderId="0" xfId="0" applyNumberFormat="1"/>
    <xf numFmtId="0" fontId="0" fillId="0" borderId="0" xfId="4" applyFont="1" applyAlignment="1">
      <alignment horizontal="center"/>
    </xf>
    <xf numFmtId="0" fontId="0" fillId="0" borderId="0" xfId="4" applyFont="1"/>
    <xf numFmtId="0" fontId="10" fillId="0" borderId="0" xfId="4" applyFont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3" fontId="1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15" fillId="0" borderId="0" xfId="0" applyNumberFormat="1" applyFont="1"/>
    <xf numFmtId="0" fontId="12" fillId="3" borderId="1" xfId="0" applyFont="1" applyFill="1" applyBorder="1" applyAlignment="1">
      <alignment vertical="center"/>
    </xf>
    <xf numFmtId="0" fontId="12" fillId="3" borderId="1" xfId="4" applyFont="1" applyFill="1" applyBorder="1" applyAlignment="1">
      <alignment vertical="center"/>
    </xf>
    <xf numFmtId="168" fontId="12" fillId="2" borderId="1" xfId="6" applyNumberFormat="1" applyFont="1" applyFill="1" applyBorder="1" applyAlignment="1">
      <alignment horizontal="right" vertical="center"/>
    </xf>
    <xf numFmtId="167" fontId="0" fillId="0" borderId="0" xfId="4" applyNumberFormat="1" applyFont="1" applyAlignment="1">
      <alignment vertical="center"/>
    </xf>
    <xf numFmtId="168" fontId="12" fillId="3" borderId="1" xfId="6" applyNumberFormat="1" applyFont="1" applyFill="1" applyBorder="1" applyAlignment="1">
      <alignment horizontal="right" vertical="center"/>
    </xf>
    <xf numFmtId="169" fontId="0" fillId="0" borderId="0" xfId="4" applyNumberFormat="1" applyFont="1" applyAlignment="1">
      <alignment vertical="center"/>
    </xf>
    <xf numFmtId="9" fontId="0" fillId="0" borderId="0" xfId="4" applyNumberFormat="1" applyFont="1" applyAlignment="1">
      <alignment vertical="center"/>
    </xf>
    <xf numFmtId="167" fontId="0" fillId="0" borderId="0" xfId="6" applyNumberFormat="1" applyFont="1"/>
    <xf numFmtId="0" fontId="10" fillId="0" borderId="0" xfId="4" applyFont="1"/>
    <xf numFmtId="0" fontId="4" fillId="0" borderId="1" xfId="0" applyFont="1" applyBorder="1" applyAlignment="1">
      <alignment horizontal="center" vertical="center"/>
    </xf>
    <xf numFmtId="165" fontId="1" fillId="0" borderId="0" xfId="1" applyFont="1" applyFill="1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43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7" fillId="0" borderId="1" xfId="4" applyFont="1" applyBorder="1" applyAlignment="1">
      <alignment horizontal="left" vertical="center" wrapText="1"/>
    </xf>
    <xf numFmtId="167" fontId="3" fillId="2" borderId="1" xfId="3" applyNumberFormat="1" applyFont="1" applyFill="1" applyBorder="1" applyAlignment="1">
      <alignment horizontal="right" vertical="center"/>
    </xf>
    <xf numFmtId="168" fontId="3" fillId="2" borderId="1" xfId="6" applyNumberFormat="1" applyFont="1" applyFill="1" applyBorder="1" applyAlignment="1">
      <alignment horizontal="right" vertical="center"/>
    </xf>
    <xf numFmtId="165" fontId="18" fillId="6" borderId="0" xfId="1" applyFont="1" applyFill="1" applyBorder="1" applyAlignment="1">
      <alignment horizontal="center" vertical="center"/>
    </xf>
    <xf numFmtId="43" fontId="18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65" fontId="4" fillId="6" borderId="0" xfId="1" applyFont="1" applyFill="1" applyAlignment="1">
      <alignment horizontal="center" vertical="center"/>
    </xf>
    <xf numFmtId="168" fontId="0" fillId="0" borderId="0" xfId="4" applyNumberFormat="1" applyFont="1"/>
    <xf numFmtId="0" fontId="2" fillId="2" borderId="1" xfId="4" applyFont="1" applyFill="1" applyBorder="1" applyAlignment="1">
      <alignment horizontal="center"/>
    </xf>
    <xf numFmtId="14" fontId="2" fillId="2" borderId="1" xfId="4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68" fontId="4" fillId="0" borderId="1" xfId="6" applyNumberFormat="1" applyFont="1" applyFill="1" applyBorder="1" applyAlignment="1">
      <alignment horizontal="center" vertical="center"/>
    </xf>
    <xf numFmtId="168" fontId="4" fillId="0" borderId="1" xfId="6" applyNumberFormat="1" applyFont="1" applyFill="1" applyBorder="1" applyAlignment="1">
      <alignment horizontal="right" vertical="center"/>
    </xf>
    <xf numFmtId="165" fontId="4" fillId="0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3" fontId="4" fillId="0" borderId="0" xfId="1" applyNumberFormat="1" applyFont="1" applyFill="1" applyAlignment="1">
      <alignment horizontal="left" vertical="center" indent="1"/>
    </xf>
    <xf numFmtId="168" fontId="3" fillId="3" borderId="1" xfId="6" applyNumberFormat="1" applyFont="1" applyFill="1" applyBorder="1" applyAlignment="1">
      <alignment horizontal="right" vertical="center"/>
    </xf>
    <xf numFmtId="165" fontId="3" fillId="3" borderId="1" xfId="1" applyFont="1" applyFill="1" applyBorder="1" applyAlignment="1">
      <alignment horizontal="right" vertical="center"/>
    </xf>
    <xf numFmtId="167" fontId="3" fillId="3" borderId="1" xfId="3" applyNumberFormat="1" applyFont="1" applyFill="1" applyBorder="1" applyAlignment="1">
      <alignment horizontal="right" vertical="center"/>
    </xf>
    <xf numFmtId="0" fontId="7" fillId="2" borderId="1" xfId="4" applyFont="1" applyFill="1" applyBorder="1" applyAlignment="1">
      <alignment vertical="center" wrapText="1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1" fontId="24" fillId="3" borderId="1" xfId="4" applyNumberFormat="1" applyFont="1" applyFill="1" applyBorder="1" applyAlignment="1">
      <alignment horizontal="center" vertical="center"/>
    </xf>
    <xf numFmtId="2" fontId="24" fillId="3" borderId="1" xfId="4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168" fontId="24" fillId="3" borderId="1" xfId="6" applyNumberFormat="1" applyFont="1" applyFill="1" applyBorder="1" applyAlignment="1">
      <alignment horizontal="right" vertical="center"/>
    </xf>
    <xf numFmtId="168" fontId="3" fillId="7" borderId="13" xfId="3" applyNumberFormat="1" applyFont="1" applyFill="1" applyBorder="1" applyAlignment="1">
      <alignment horizontal="right" vertical="center"/>
    </xf>
    <xf numFmtId="168" fontId="14" fillId="0" borderId="14" xfId="5" applyNumberFormat="1" applyFill="1" applyBorder="1" applyAlignment="1">
      <alignment horizontal="right" vertical="center"/>
    </xf>
    <xf numFmtId="0" fontId="2" fillId="0" borderId="2" xfId="4" applyFont="1" applyBorder="1" applyAlignment="1">
      <alignment horizontal="center"/>
    </xf>
    <xf numFmtId="0" fontId="2" fillId="0" borderId="4" xfId="4" applyFont="1" applyBorder="1" applyAlignment="1">
      <alignment horizontal="center"/>
    </xf>
    <xf numFmtId="0" fontId="2" fillId="0" borderId="3" xfId="4" applyFont="1" applyBorder="1" applyAlignment="1">
      <alignment horizontal="center"/>
    </xf>
    <xf numFmtId="0" fontId="3" fillId="2" borderId="2" xfId="4" applyFont="1" applyFill="1" applyBorder="1" applyAlignment="1">
      <alignment horizontal="left" vertical="center"/>
    </xf>
    <xf numFmtId="0" fontId="3" fillId="2" borderId="3" xfId="4" applyFont="1" applyFill="1" applyBorder="1" applyAlignment="1">
      <alignment horizontal="left" vertical="center"/>
    </xf>
    <xf numFmtId="0" fontId="3" fillId="0" borderId="2" xfId="4" applyFont="1" applyBorder="1" applyAlignment="1">
      <alignment horizontal="left" vertical="center" wrapText="1"/>
    </xf>
    <xf numFmtId="0" fontId="3" fillId="0" borderId="4" xfId="4" applyFont="1" applyBorder="1" applyAlignment="1">
      <alignment horizontal="left" vertical="center" wrapText="1"/>
    </xf>
    <xf numFmtId="0" fontId="3" fillId="0" borderId="3" xfId="4" applyFont="1" applyBorder="1" applyAlignment="1">
      <alignment horizontal="left" vertical="center" wrapText="1"/>
    </xf>
    <xf numFmtId="0" fontId="3" fillId="3" borderId="2" xfId="4" applyFont="1" applyFill="1" applyBorder="1" applyAlignment="1">
      <alignment horizontal="left" vertical="center"/>
    </xf>
    <xf numFmtId="0" fontId="3" fillId="3" borderId="3" xfId="4" applyFont="1" applyFill="1" applyBorder="1" applyAlignment="1">
      <alignment horizontal="left" vertical="center"/>
    </xf>
    <xf numFmtId="0" fontId="12" fillId="0" borderId="2" xfId="4" applyFont="1" applyBorder="1" applyAlignment="1">
      <alignment horizontal="left" vertical="center" wrapText="1"/>
    </xf>
    <xf numFmtId="0" fontId="12" fillId="0" borderId="4" xfId="4" applyFont="1" applyBorder="1" applyAlignment="1">
      <alignment horizontal="left" vertical="center" wrapText="1"/>
    </xf>
    <xf numFmtId="0" fontId="12" fillId="0" borderId="3" xfId="4" applyFont="1" applyBorder="1" applyAlignment="1">
      <alignment horizontal="left" vertical="center" wrapText="1"/>
    </xf>
    <xf numFmtId="0" fontId="0" fillId="0" borderId="2" xfId="4" applyFont="1" applyBorder="1" applyAlignment="1">
      <alignment horizontal="center"/>
    </xf>
    <xf numFmtId="0" fontId="0" fillId="0" borderId="4" xfId="4" applyFont="1" applyBorder="1" applyAlignment="1">
      <alignment horizontal="center"/>
    </xf>
    <xf numFmtId="0" fontId="0" fillId="0" borderId="3" xfId="4" applyFont="1" applyBorder="1" applyAlignment="1">
      <alignment horizontal="center"/>
    </xf>
    <xf numFmtId="172" fontId="20" fillId="2" borderId="2" xfId="6" applyNumberFormat="1" applyFont="1" applyFill="1" applyBorder="1" applyAlignment="1">
      <alignment horizontal="center" vertical="center" wrapText="1"/>
    </xf>
    <xf numFmtId="172" fontId="20" fillId="2" borderId="4" xfId="6" applyNumberFormat="1" applyFont="1" applyFill="1" applyBorder="1" applyAlignment="1">
      <alignment horizontal="center" vertical="center" wrapText="1"/>
    </xf>
    <xf numFmtId="172" fontId="20" fillId="2" borderId="3" xfId="6" applyNumberFormat="1" applyFont="1" applyFill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0" fontId="3" fillId="3" borderId="5" xfId="4" applyFont="1" applyFill="1" applyBorder="1" applyAlignment="1">
      <alignment horizontal="left" vertical="center" wrapText="1"/>
    </xf>
    <xf numFmtId="0" fontId="3" fillId="3" borderId="6" xfId="4" applyFont="1" applyFill="1" applyBorder="1" applyAlignment="1">
      <alignment horizontal="left" vertical="center" wrapText="1"/>
    </xf>
    <xf numFmtId="0" fontId="3" fillId="3" borderId="7" xfId="4" applyFont="1" applyFill="1" applyBorder="1" applyAlignment="1">
      <alignment horizontal="left" vertical="center" wrapText="1"/>
    </xf>
    <xf numFmtId="0" fontId="3" fillId="3" borderId="8" xfId="4" applyFont="1" applyFill="1" applyBorder="1" applyAlignment="1">
      <alignment horizontal="left" vertical="center" wrapText="1"/>
    </xf>
    <xf numFmtId="0" fontId="4" fillId="0" borderId="2" xfId="4" applyFont="1" applyBorder="1" applyAlignment="1">
      <alignment horizontal="left" vertical="center" wrapText="1"/>
    </xf>
    <xf numFmtId="0" fontId="4" fillId="0" borderId="4" xfId="4" applyFont="1" applyBorder="1" applyAlignment="1">
      <alignment horizontal="left" vertical="center" wrapText="1"/>
    </xf>
    <xf numFmtId="0" fontId="4" fillId="0" borderId="3" xfId="4" applyFont="1" applyBorder="1" applyAlignment="1">
      <alignment horizontal="left" vertical="center" wrapText="1"/>
    </xf>
    <xf numFmtId="0" fontId="3" fillId="3" borderId="2" xfId="4" applyFont="1" applyFill="1" applyBorder="1" applyAlignment="1">
      <alignment vertical="center"/>
    </xf>
    <xf numFmtId="0" fontId="3" fillId="3" borderId="3" xfId="4" applyFont="1" applyFill="1" applyBorder="1" applyAlignment="1">
      <alignment vertical="center"/>
    </xf>
    <xf numFmtId="0" fontId="6" fillId="0" borderId="2" xfId="4" applyFont="1" applyBorder="1" applyAlignment="1">
      <alignment horizontal="left" vertical="center" wrapText="1"/>
    </xf>
    <xf numFmtId="0" fontId="6" fillId="0" borderId="4" xfId="4" applyFont="1" applyBorder="1" applyAlignment="1">
      <alignment horizontal="left" vertical="center" wrapText="1"/>
    </xf>
    <xf numFmtId="0" fontId="6" fillId="0" borderId="3" xfId="4" applyFont="1" applyBorder="1" applyAlignment="1">
      <alignment horizontal="left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0" fontId="3" fillId="0" borderId="8" xfId="4" applyFont="1" applyBorder="1" applyAlignment="1">
      <alignment horizontal="center" vertical="center"/>
    </xf>
    <xf numFmtId="0" fontId="3" fillId="2" borderId="2" xfId="4" applyFont="1" applyFill="1" applyBorder="1" applyAlignment="1">
      <alignment vertical="center"/>
    </xf>
    <xf numFmtId="0" fontId="3" fillId="2" borderId="3" xfId="4" applyFont="1" applyFill="1" applyBorder="1" applyAlignment="1">
      <alignment vertical="center"/>
    </xf>
    <xf numFmtId="0" fontId="3" fillId="3" borderId="2" xfId="4" applyFont="1" applyFill="1" applyBorder="1" applyAlignment="1">
      <alignment horizontal="center" vertical="center" wrapText="1"/>
    </xf>
    <xf numFmtId="0" fontId="3" fillId="3" borderId="3" xfId="4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2" fillId="2" borderId="3" xfId="4" applyFont="1" applyFill="1" applyBorder="1" applyAlignment="1">
      <alignment horizontal="center" vertical="center"/>
    </xf>
    <xf numFmtId="0" fontId="2" fillId="4" borderId="5" xfId="4" applyFont="1" applyFill="1" applyBorder="1" applyAlignment="1">
      <alignment horizontal="center" vertical="center"/>
    </xf>
    <xf numFmtId="0" fontId="2" fillId="4" borderId="6" xfId="4" applyFont="1" applyFill="1" applyBorder="1" applyAlignment="1">
      <alignment horizontal="center" vertical="center"/>
    </xf>
    <xf numFmtId="0" fontId="2" fillId="4" borderId="9" xfId="4" applyFont="1" applyFill="1" applyBorder="1" applyAlignment="1">
      <alignment horizontal="center" vertical="center"/>
    </xf>
    <xf numFmtId="0" fontId="2" fillId="4" borderId="10" xfId="4" applyFont="1" applyFill="1" applyBorder="1" applyAlignment="1">
      <alignment horizontal="center" vertical="center"/>
    </xf>
    <xf numFmtId="0" fontId="2" fillId="4" borderId="7" xfId="4" applyFont="1" applyFill="1" applyBorder="1" applyAlignment="1">
      <alignment horizontal="center" vertical="center"/>
    </xf>
    <xf numFmtId="0" fontId="2" fillId="4" borderId="8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 wrapText="1"/>
    </xf>
    <xf numFmtId="0" fontId="2" fillId="0" borderId="15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/>
    </xf>
    <xf numFmtId="0" fontId="2" fillId="0" borderId="7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2" fillId="0" borderId="8" xfId="4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5" fontId="24" fillId="3" borderId="1" xfId="1" applyFont="1" applyFill="1" applyBorder="1" applyAlignment="1">
      <alignment horizontal="center" vertical="center"/>
    </xf>
    <xf numFmtId="1" fontId="4" fillId="0" borderId="2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1" xfId="4" applyFont="1" applyFill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2" xfId="4" applyFont="1" applyBorder="1" applyAlignment="1">
      <alignment horizontal="left" vertical="center"/>
    </xf>
    <xf numFmtId="0" fontId="3" fillId="0" borderId="4" xfId="4" applyFont="1" applyBorder="1" applyAlignment="1">
      <alignment horizontal="left" vertical="center"/>
    </xf>
    <xf numFmtId="0" fontId="3" fillId="0" borderId="11" xfId="4" applyFont="1" applyBorder="1" applyAlignment="1">
      <alignment horizontal="left" vertical="center"/>
    </xf>
    <xf numFmtId="0" fontId="3" fillId="0" borderId="12" xfId="4" applyFont="1" applyBorder="1" applyAlignment="1">
      <alignment horizontal="left" vertical="center"/>
    </xf>
    <xf numFmtId="0" fontId="0" fillId="0" borderId="1" xfId="4" applyFont="1" applyBorder="1" applyAlignment="1">
      <alignment horizontal="center"/>
    </xf>
    <xf numFmtId="0" fontId="16" fillId="0" borderId="1" xfId="4" applyFont="1" applyBorder="1" applyAlignment="1">
      <alignment horizontal="center" vertical="center"/>
    </xf>
    <xf numFmtId="167" fontId="17" fillId="0" borderId="1" xfId="3" applyNumberFormat="1" applyFont="1" applyBorder="1" applyAlignment="1">
      <alignment horizontal="center" vertical="center" wrapText="1"/>
    </xf>
    <xf numFmtId="0" fontId="21" fillId="4" borderId="1" xfId="4" applyFont="1" applyFill="1" applyBorder="1" applyAlignment="1">
      <alignment horizontal="center"/>
    </xf>
  </cellXfs>
  <cellStyles count="11">
    <cellStyle name="Hipervínculo" xfId="5" builtinId="8"/>
    <cellStyle name="Millares" xfId="1" builtinId="3"/>
    <cellStyle name="Millares 2" xfId="2" xr:uid="{00000000-0005-0000-0000-000031000000}"/>
    <cellStyle name="Millares 2 2" xfId="8" xr:uid="{00000000-0005-0000-0000-000031000000}"/>
    <cellStyle name="Millares 3" xfId="7" xr:uid="{00000000-0005-0000-0000-000034000000}"/>
    <cellStyle name="Moneda" xfId="6" builtinId="4"/>
    <cellStyle name="Moneda 2" xfId="3" xr:uid="{00000000-0005-0000-0000-000032000000}"/>
    <cellStyle name="Moneda 3" xfId="9" xr:uid="{00000000-0005-0000-0000-000036000000}"/>
    <cellStyle name="Normal" xfId="0" builtinId="0"/>
    <cellStyle name="Normal 3" xfId="4" xr:uid="{00000000-0005-0000-0000-000033000000}"/>
    <cellStyle name="Porcentaje 2" xfId="10" xr:uid="{00000000-0005-0000-0000-000037000000}"/>
  </cellStyles>
  <dxfs count="10"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  <dxf>
      <font>
        <color auto="1"/>
      </font>
      <fill>
        <patternFill patternType="solid"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203299</xdr:colOff>
      <xdr:row>0</xdr:row>
      <xdr:rowOff>69089</xdr:rowOff>
    </xdr:from>
    <xdr:to>
      <xdr:col>2</xdr:col>
      <xdr:colOff>598281</xdr:colOff>
      <xdr:row>0</xdr:row>
      <xdr:rowOff>954066</xdr:rowOff>
    </xdr:to>
    <xdr:pic>
      <xdr:nvPicPr>
        <xdr:cNvPr id="2" name="Imagen 1" descr="logo-01.jpg">
          <a:extLst>
            <a:ext uri="{FF2B5EF4-FFF2-40B4-BE49-F238E27FC236}">
              <a16:creationId xmlns:a16="http://schemas.microsoft.com/office/drawing/2014/main" id="{E459442F-756B-44CB-A770-0D5ED29C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62" r="5809"/>
        <a:stretch>
          <a:fillRect/>
        </a:stretch>
      </xdr:blipFill>
      <xdr:spPr>
        <a:xfrm>
          <a:off x="335821" y="69089"/>
          <a:ext cx="1494636" cy="884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84920</xdr:colOff>
      <xdr:row>0</xdr:row>
      <xdr:rowOff>180975</xdr:rowOff>
    </xdr:from>
    <xdr:to>
      <xdr:col>8</xdr:col>
      <xdr:colOff>1196409</xdr:colOff>
      <xdr:row>0</xdr:row>
      <xdr:rowOff>962025</xdr:rowOff>
    </xdr:to>
    <xdr:pic>
      <xdr:nvPicPr>
        <xdr:cNvPr id="4" name="Imagen 3" descr="INDHECA Grupo Constructor (@Indhecamx) / X">
          <a:extLst>
            <a:ext uri="{FF2B5EF4-FFF2-40B4-BE49-F238E27FC236}">
              <a16:creationId xmlns:a16="http://schemas.microsoft.com/office/drawing/2014/main" id="{B185F77D-920A-45E6-AA4C-CFAB4878B2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15" b="33679"/>
        <a:stretch>
          <a:fillRect/>
        </a:stretch>
      </xdr:blipFill>
      <xdr:spPr bwMode="auto">
        <a:xfrm>
          <a:off x="6733370" y="180975"/>
          <a:ext cx="2321164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203299</xdr:colOff>
      <xdr:row>0</xdr:row>
      <xdr:rowOff>69089</xdr:rowOff>
    </xdr:from>
    <xdr:to>
      <xdr:col>2</xdr:col>
      <xdr:colOff>598281</xdr:colOff>
      <xdr:row>0</xdr:row>
      <xdr:rowOff>954066</xdr:rowOff>
    </xdr:to>
    <xdr:pic>
      <xdr:nvPicPr>
        <xdr:cNvPr id="2" name="Imagen 1" descr="logo-01.jpg">
          <a:extLst>
            <a:ext uri="{FF2B5EF4-FFF2-40B4-BE49-F238E27FC236}">
              <a16:creationId xmlns:a16="http://schemas.microsoft.com/office/drawing/2014/main" id="{069F8035-1356-E64F-BFD4-A8E10AD8A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62" r="5809"/>
        <a:stretch>
          <a:fillRect/>
        </a:stretch>
      </xdr:blipFill>
      <xdr:spPr>
        <a:xfrm>
          <a:off x="203299" y="69089"/>
          <a:ext cx="1652282" cy="884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84920</xdr:colOff>
      <xdr:row>0</xdr:row>
      <xdr:rowOff>180975</xdr:rowOff>
    </xdr:from>
    <xdr:to>
      <xdr:col>8</xdr:col>
      <xdr:colOff>1196409</xdr:colOff>
      <xdr:row>0</xdr:row>
      <xdr:rowOff>962025</xdr:rowOff>
    </xdr:to>
    <xdr:pic>
      <xdr:nvPicPr>
        <xdr:cNvPr id="3" name="Imagen 2" descr="INDHECA Grupo Constructor (@Indhecamx) / X">
          <a:extLst>
            <a:ext uri="{FF2B5EF4-FFF2-40B4-BE49-F238E27FC236}">
              <a16:creationId xmlns:a16="http://schemas.microsoft.com/office/drawing/2014/main" id="{242563BE-133E-6641-965D-2D7B57E9A0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15" b="33679"/>
        <a:stretch>
          <a:fillRect/>
        </a:stretch>
      </xdr:blipFill>
      <xdr:spPr bwMode="auto">
        <a:xfrm>
          <a:off x="7704920" y="180975"/>
          <a:ext cx="249578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203299</xdr:colOff>
      <xdr:row>0</xdr:row>
      <xdr:rowOff>69089</xdr:rowOff>
    </xdr:from>
    <xdr:to>
      <xdr:col>2</xdr:col>
      <xdr:colOff>598281</xdr:colOff>
      <xdr:row>0</xdr:row>
      <xdr:rowOff>954066</xdr:rowOff>
    </xdr:to>
    <xdr:pic>
      <xdr:nvPicPr>
        <xdr:cNvPr id="2" name="Imagen 1" descr="logo-01.jpg">
          <a:extLst>
            <a:ext uri="{FF2B5EF4-FFF2-40B4-BE49-F238E27FC236}">
              <a16:creationId xmlns:a16="http://schemas.microsoft.com/office/drawing/2014/main" id="{AAD9CCEF-9E98-C742-9396-F2D332FFE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62" r="5809"/>
        <a:stretch>
          <a:fillRect/>
        </a:stretch>
      </xdr:blipFill>
      <xdr:spPr>
        <a:xfrm>
          <a:off x="203299" y="69089"/>
          <a:ext cx="1652282" cy="884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84920</xdr:colOff>
      <xdr:row>0</xdr:row>
      <xdr:rowOff>180975</xdr:rowOff>
    </xdr:from>
    <xdr:to>
      <xdr:col>8</xdr:col>
      <xdr:colOff>1196409</xdr:colOff>
      <xdr:row>0</xdr:row>
      <xdr:rowOff>962025</xdr:rowOff>
    </xdr:to>
    <xdr:pic>
      <xdr:nvPicPr>
        <xdr:cNvPr id="3" name="Imagen 2" descr="INDHECA Grupo Constructor (@Indhecamx) / X">
          <a:extLst>
            <a:ext uri="{FF2B5EF4-FFF2-40B4-BE49-F238E27FC236}">
              <a16:creationId xmlns:a16="http://schemas.microsoft.com/office/drawing/2014/main" id="{1BB434DE-41A5-FA4E-9982-35DBB66A9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15" b="33679"/>
        <a:stretch>
          <a:fillRect/>
        </a:stretch>
      </xdr:blipFill>
      <xdr:spPr bwMode="auto">
        <a:xfrm>
          <a:off x="7704920" y="180975"/>
          <a:ext cx="249578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203299</xdr:colOff>
      <xdr:row>0</xdr:row>
      <xdr:rowOff>69089</xdr:rowOff>
    </xdr:from>
    <xdr:to>
      <xdr:col>2</xdr:col>
      <xdr:colOff>598281</xdr:colOff>
      <xdr:row>0</xdr:row>
      <xdr:rowOff>954066</xdr:rowOff>
    </xdr:to>
    <xdr:pic>
      <xdr:nvPicPr>
        <xdr:cNvPr id="2" name="Imagen 1" descr="logo-01.jpg">
          <a:extLst>
            <a:ext uri="{FF2B5EF4-FFF2-40B4-BE49-F238E27FC236}">
              <a16:creationId xmlns:a16="http://schemas.microsoft.com/office/drawing/2014/main" id="{A6920A0D-6375-3C4D-828A-1BC4274D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62" r="5809"/>
        <a:stretch>
          <a:fillRect/>
        </a:stretch>
      </xdr:blipFill>
      <xdr:spPr>
        <a:xfrm>
          <a:off x="203299" y="69089"/>
          <a:ext cx="1652282" cy="884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84920</xdr:colOff>
      <xdr:row>0</xdr:row>
      <xdr:rowOff>180975</xdr:rowOff>
    </xdr:from>
    <xdr:to>
      <xdr:col>8</xdr:col>
      <xdr:colOff>1196409</xdr:colOff>
      <xdr:row>0</xdr:row>
      <xdr:rowOff>962025</xdr:rowOff>
    </xdr:to>
    <xdr:pic>
      <xdr:nvPicPr>
        <xdr:cNvPr id="3" name="Imagen 2" descr="INDHECA Grupo Constructor (@Indhecamx) / X">
          <a:extLst>
            <a:ext uri="{FF2B5EF4-FFF2-40B4-BE49-F238E27FC236}">
              <a16:creationId xmlns:a16="http://schemas.microsoft.com/office/drawing/2014/main" id="{277575E3-3538-994D-988E-F61D6BC531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15" b="33679"/>
        <a:stretch>
          <a:fillRect/>
        </a:stretch>
      </xdr:blipFill>
      <xdr:spPr bwMode="auto">
        <a:xfrm>
          <a:off x="7704920" y="180975"/>
          <a:ext cx="249578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203299</xdr:colOff>
      <xdr:row>0</xdr:row>
      <xdr:rowOff>69089</xdr:rowOff>
    </xdr:from>
    <xdr:to>
      <xdr:col>2</xdr:col>
      <xdr:colOff>598281</xdr:colOff>
      <xdr:row>0</xdr:row>
      <xdr:rowOff>954066</xdr:rowOff>
    </xdr:to>
    <xdr:pic>
      <xdr:nvPicPr>
        <xdr:cNvPr id="2" name="Imagen 1" descr="logo-01.jpg">
          <a:extLst>
            <a:ext uri="{FF2B5EF4-FFF2-40B4-BE49-F238E27FC236}">
              <a16:creationId xmlns:a16="http://schemas.microsoft.com/office/drawing/2014/main" id="{0C503E3E-76EF-4401-875E-2F990E83D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62" r="5809"/>
        <a:stretch>
          <a:fillRect/>
        </a:stretch>
      </xdr:blipFill>
      <xdr:spPr>
        <a:xfrm>
          <a:off x="203299" y="69089"/>
          <a:ext cx="1490357" cy="884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84920</xdr:colOff>
      <xdr:row>0</xdr:row>
      <xdr:rowOff>180975</xdr:rowOff>
    </xdr:from>
    <xdr:to>
      <xdr:col>8</xdr:col>
      <xdr:colOff>1196409</xdr:colOff>
      <xdr:row>0</xdr:row>
      <xdr:rowOff>962025</xdr:rowOff>
    </xdr:to>
    <xdr:pic>
      <xdr:nvPicPr>
        <xdr:cNvPr id="3" name="Imagen 2" descr="INDHECA Grupo Constructor (@Indhecamx) / X">
          <a:extLst>
            <a:ext uri="{FF2B5EF4-FFF2-40B4-BE49-F238E27FC236}">
              <a16:creationId xmlns:a16="http://schemas.microsoft.com/office/drawing/2014/main" id="{F69ED6D0-99D2-46E8-8DEB-766BA8E395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15" b="33679"/>
        <a:stretch>
          <a:fillRect/>
        </a:stretch>
      </xdr:blipFill>
      <xdr:spPr bwMode="auto">
        <a:xfrm>
          <a:off x="6733370" y="180975"/>
          <a:ext cx="2321164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1F91-CBA6-43F3-88F7-E7F25A05B4FA}">
  <dimension ref="A1:O70"/>
  <sheetViews>
    <sheetView topLeftCell="B4" zoomScaleNormal="100" zoomScaleSheetLayoutView="100" workbookViewId="0">
      <selection activeCell="D4" sqref="D4:I4"/>
    </sheetView>
  </sheetViews>
  <sheetFormatPr defaultColWidth="11.42578125" defaultRowHeight="12.75"/>
  <cols>
    <col min="1" max="1" width="2" style="13" hidden="1" customWidth="1"/>
    <col min="2" max="3" width="16.42578125" style="13" customWidth="1"/>
    <col min="4" max="4" width="15.7109375" style="13" customWidth="1"/>
    <col min="5" max="6" width="11.42578125" style="13"/>
    <col min="7" max="7" width="28.28515625" style="13" customWidth="1"/>
    <col min="8" max="8" width="18.140625" style="28" customWidth="1"/>
    <col min="9" max="9" width="19.42578125" style="28" customWidth="1"/>
    <col min="10" max="10" width="18.140625" style="13" customWidth="1"/>
    <col min="11" max="11" width="14.28515625" style="13" customWidth="1"/>
    <col min="12" max="12" width="11.7109375" style="13" customWidth="1"/>
    <col min="13" max="13" width="11.42578125" style="13"/>
    <col min="14" max="14" width="11.7109375" style="13" customWidth="1"/>
    <col min="15" max="16384" width="11.42578125" style="13"/>
  </cols>
  <sheetData>
    <row r="1" spans="2:15" ht="90.75" customHeight="1">
      <c r="B1" s="160"/>
      <c r="C1" s="160"/>
      <c r="D1" s="161" t="s">
        <v>0</v>
      </c>
      <c r="E1" s="161"/>
      <c r="F1" s="161"/>
      <c r="G1" s="161"/>
      <c r="H1" s="162" t="s">
        <v>1</v>
      </c>
      <c r="I1" s="162"/>
    </row>
    <row r="2" spans="2:15" ht="19.5" customHeight="1">
      <c r="B2" s="43" t="s">
        <v>2</v>
      </c>
      <c r="C2" s="44">
        <f ca="1">TODAY()</f>
        <v>46320</v>
      </c>
      <c r="D2" s="163"/>
      <c r="E2" s="163"/>
      <c r="F2" s="163"/>
      <c r="G2" s="163"/>
      <c r="H2" s="2" t="s">
        <v>3</v>
      </c>
      <c r="I2" s="2" t="s">
        <v>4</v>
      </c>
      <c r="K2" s="5"/>
    </row>
    <row r="3" spans="2:15" ht="15.95" customHeight="1">
      <c r="B3" s="151" t="s">
        <v>5</v>
      </c>
      <c r="C3" s="151"/>
      <c r="D3" s="152" t="s">
        <v>6</v>
      </c>
      <c r="E3" s="152"/>
      <c r="F3" s="152"/>
      <c r="G3" s="152"/>
      <c r="H3" s="152"/>
      <c r="I3" s="152"/>
      <c r="K3" s="5"/>
    </row>
    <row r="4" spans="2:15" ht="17.100000000000001" customHeight="1">
      <c r="B4" s="151" t="s">
        <v>7</v>
      </c>
      <c r="C4" s="151"/>
      <c r="D4" s="152" t="s">
        <v>8</v>
      </c>
      <c r="E4" s="152"/>
      <c r="F4" s="152"/>
      <c r="G4" s="152"/>
      <c r="H4" s="152"/>
      <c r="I4" s="152"/>
      <c r="K4" s="5"/>
    </row>
    <row r="5" spans="2:15" ht="15.6" customHeight="1">
      <c r="B5" s="78" t="s">
        <v>9</v>
      </c>
      <c r="C5" s="79"/>
      <c r="D5" s="156" t="s">
        <v>10</v>
      </c>
      <c r="E5" s="157"/>
      <c r="F5" s="157"/>
      <c r="G5" s="157"/>
      <c r="H5" s="157"/>
      <c r="I5" s="158"/>
      <c r="K5" s="5"/>
    </row>
    <row r="6" spans="2:15" ht="14.45" customHeight="1">
      <c r="B6" s="151" t="s">
        <v>11</v>
      </c>
      <c r="C6" s="151"/>
      <c r="D6" s="152" t="s">
        <v>12</v>
      </c>
      <c r="E6" s="152"/>
      <c r="F6" s="152"/>
      <c r="G6" s="152"/>
      <c r="H6" s="152"/>
      <c r="I6" s="159"/>
    </row>
    <row r="7" spans="2:15" ht="17.100000000000001" customHeight="1" thickBot="1">
      <c r="B7" s="151" t="s">
        <v>13</v>
      </c>
      <c r="C7" s="151"/>
      <c r="D7" s="152" t="s">
        <v>14</v>
      </c>
      <c r="E7" s="152"/>
      <c r="F7" s="152"/>
      <c r="G7" s="152"/>
      <c r="H7" s="68" t="s">
        <v>15</v>
      </c>
      <c r="I7" s="69" t="s">
        <v>16</v>
      </c>
      <c r="L7" s="42" t="e">
        <f>#REF!*#REF!</f>
        <v>#REF!</v>
      </c>
    </row>
    <row r="8" spans="2:15" ht="9.9499999999999993" customHeight="1">
      <c r="B8" s="153"/>
      <c r="C8" s="153"/>
      <c r="D8" s="153"/>
      <c r="E8" s="153"/>
      <c r="F8" s="153"/>
      <c r="G8" s="153"/>
      <c r="H8" s="153"/>
      <c r="I8" s="153"/>
    </row>
    <row r="9" spans="2:15" customFormat="1" ht="15.75" customHeight="1">
      <c r="B9" s="154" t="s">
        <v>17</v>
      </c>
      <c r="C9" s="154"/>
      <c r="D9" s="154"/>
      <c r="E9" s="154"/>
      <c r="F9" s="154"/>
      <c r="G9" s="154"/>
      <c r="H9" s="154"/>
      <c r="I9" s="154"/>
      <c r="K9" s="15"/>
      <c r="L9" s="16"/>
    </row>
    <row r="10" spans="2:15" s="6" customFormat="1" ht="15">
      <c r="B10" s="45" t="s">
        <v>18</v>
      </c>
      <c r="C10" s="46" t="s">
        <v>19</v>
      </c>
      <c r="D10" s="155" t="s">
        <v>20</v>
      </c>
      <c r="E10" s="155"/>
      <c r="F10" s="155"/>
      <c r="G10" s="155"/>
      <c r="H10" s="47" t="s">
        <v>21</v>
      </c>
      <c r="I10" s="47" t="s">
        <v>22</v>
      </c>
      <c r="J10" s="48"/>
      <c r="K10" s="15"/>
      <c r="L10" s="17"/>
      <c r="M10" s="48"/>
      <c r="N10" s="48"/>
      <c r="O10" s="48"/>
    </row>
    <row r="11" spans="2:15" s="40" customFormat="1" ht="15" hidden="1">
      <c r="B11" s="62">
        <v>0</v>
      </c>
      <c r="C11" s="63" t="s">
        <v>23</v>
      </c>
      <c r="D11" s="147" t="s">
        <v>24</v>
      </c>
      <c r="E11" s="147"/>
      <c r="F11" s="147"/>
      <c r="G11" s="147"/>
      <c r="H11" s="52">
        <f>(6.5*380)</f>
        <v>2470</v>
      </c>
      <c r="I11" s="52">
        <f t="shared" ref="I11:I17" si="0">H11*B11</f>
        <v>0</v>
      </c>
      <c r="J11" s="41"/>
      <c r="K11" s="38"/>
      <c r="L11" s="39"/>
      <c r="M11" s="49">
        <v>1050</v>
      </c>
      <c r="N11" s="50">
        <v>20</v>
      </c>
      <c r="O11" s="49">
        <f>M11/N11</f>
        <v>52.5</v>
      </c>
    </row>
    <row r="12" spans="2:15" s="40" customFormat="1" ht="15" hidden="1">
      <c r="B12" s="62">
        <v>0</v>
      </c>
      <c r="C12" s="63" t="s">
        <v>23</v>
      </c>
      <c r="D12" s="147" t="s">
        <v>25</v>
      </c>
      <c r="E12" s="147"/>
      <c r="F12" s="147"/>
      <c r="G12" s="147"/>
      <c r="H12" s="52">
        <v>4500</v>
      </c>
      <c r="I12" s="52">
        <f t="shared" si="0"/>
        <v>0</v>
      </c>
      <c r="J12" s="41"/>
      <c r="K12" s="38"/>
      <c r="L12" s="39"/>
      <c r="M12" s="49"/>
      <c r="N12" s="50"/>
      <c r="O12" s="50"/>
    </row>
    <row r="13" spans="2:15" s="40" customFormat="1" ht="15" hidden="1">
      <c r="B13" s="62">
        <v>0</v>
      </c>
      <c r="C13" s="63" t="s">
        <v>23</v>
      </c>
      <c r="D13" s="147" t="s">
        <v>26</v>
      </c>
      <c r="E13" s="147"/>
      <c r="F13" s="147"/>
      <c r="G13" s="147"/>
      <c r="H13" s="52">
        <f>91*45</f>
        <v>4095</v>
      </c>
      <c r="I13" s="52">
        <f t="shared" si="0"/>
        <v>0</v>
      </c>
      <c r="J13" s="41"/>
      <c r="K13" s="38"/>
      <c r="L13" s="39"/>
      <c r="M13" s="49"/>
      <c r="N13" s="50"/>
      <c r="O13" s="50"/>
    </row>
    <row r="14" spans="2:15" s="40" customFormat="1" ht="15" hidden="1">
      <c r="B14" s="62">
        <v>0</v>
      </c>
      <c r="C14" s="63" t="s">
        <v>23</v>
      </c>
      <c r="D14" s="147" t="s">
        <v>27</v>
      </c>
      <c r="E14" s="147"/>
      <c r="F14" s="147"/>
      <c r="G14" s="147"/>
      <c r="H14" s="52">
        <f>(36.8*280)</f>
        <v>10304</v>
      </c>
      <c r="I14" s="52">
        <f t="shared" si="0"/>
        <v>0</v>
      </c>
      <c r="J14" s="41"/>
      <c r="K14" s="38"/>
      <c r="L14" s="39"/>
      <c r="M14" s="49">
        <v>63</v>
      </c>
      <c r="N14" s="50"/>
      <c r="O14" s="50"/>
    </row>
    <row r="15" spans="2:15" s="40" customFormat="1" ht="15" hidden="1">
      <c r="B15" s="62">
        <v>0</v>
      </c>
      <c r="C15" s="63" t="s">
        <v>23</v>
      </c>
      <c r="D15" s="136" t="s">
        <v>28</v>
      </c>
      <c r="E15" s="136"/>
      <c r="F15" s="136"/>
      <c r="G15" s="136"/>
      <c r="H15" s="52">
        <v>250</v>
      </c>
      <c r="I15" s="52">
        <f t="shared" si="0"/>
        <v>0</v>
      </c>
      <c r="J15" s="41"/>
      <c r="K15" s="38"/>
      <c r="L15" s="39"/>
      <c r="M15" s="49"/>
      <c r="N15" s="50"/>
      <c r="O15" s="50"/>
    </row>
    <row r="16" spans="2:15" s="40" customFormat="1" ht="15" hidden="1">
      <c r="B16" s="62">
        <v>0</v>
      </c>
      <c r="C16" s="63" t="s">
        <v>23</v>
      </c>
      <c r="D16" s="136" t="s">
        <v>29</v>
      </c>
      <c r="E16" s="136"/>
      <c r="F16" s="136"/>
      <c r="G16" s="136"/>
      <c r="H16" s="52">
        <f>(3*280)</f>
        <v>840</v>
      </c>
      <c r="I16" s="52">
        <f t="shared" ref="I16" si="1">H16*B16</f>
        <v>0</v>
      </c>
      <c r="J16" s="41"/>
      <c r="K16" s="38"/>
      <c r="L16" s="39"/>
      <c r="M16" s="49"/>
      <c r="N16" s="50"/>
      <c r="O16" s="50"/>
    </row>
    <row r="17" spans="2:15" s="40" customFormat="1" ht="15" hidden="1">
      <c r="B17" s="51">
        <v>0</v>
      </c>
      <c r="C17" s="30" t="s">
        <v>30</v>
      </c>
      <c r="D17" s="148" t="s">
        <v>31</v>
      </c>
      <c r="E17" s="149"/>
      <c r="F17" s="149"/>
      <c r="G17" s="150"/>
      <c r="H17" s="52">
        <v>95</v>
      </c>
      <c r="I17" s="52">
        <f t="shared" si="0"/>
        <v>0</v>
      </c>
      <c r="J17" s="41"/>
      <c r="K17" s="38"/>
      <c r="L17" s="39"/>
      <c r="M17" s="49"/>
      <c r="N17" s="50"/>
      <c r="O17" s="50"/>
    </row>
    <row r="18" spans="2:15" s="40" customFormat="1" ht="15">
      <c r="B18" s="51">
        <v>2300</v>
      </c>
      <c r="C18" s="30" t="s">
        <v>32</v>
      </c>
      <c r="D18" s="137" t="s">
        <v>33</v>
      </c>
      <c r="E18" s="138"/>
      <c r="F18" s="138"/>
      <c r="G18" s="139"/>
      <c r="H18" s="52">
        <v>0.98</v>
      </c>
      <c r="I18" s="53">
        <f t="shared" ref="I18:I20" si="2">H18*B18</f>
        <v>2254</v>
      </c>
      <c r="J18" s="41"/>
      <c r="K18" s="38"/>
      <c r="L18" s="39"/>
      <c r="M18" s="49"/>
      <c r="N18" s="50"/>
      <c r="O18" s="50"/>
    </row>
    <row r="19" spans="2:15" s="19" customFormat="1" ht="15">
      <c r="B19" s="51">
        <v>2300</v>
      </c>
      <c r="C19" s="30" t="s">
        <v>32</v>
      </c>
      <c r="D19" s="137" t="s">
        <v>34</v>
      </c>
      <c r="E19" s="138"/>
      <c r="F19" s="138"/>
      <c r="G19" s="139"/>
      <c r="H19" s="52">
        <v>0.56000000000000005</v>
      </c>
      <c r="I19" s="53">
        <f t="shared" si="2"/>
        <v>1288.0000000000002</v>
      </c>
      <c r="J19" s="54"/>
      <c r="K19" s="7"/>
      <c r="L19" s="18"/>
      <c r="M19" s="55"/>
      <c r="N19" s="56"/>
      <c r="O19" s="56"/>
    </row>
    <row r="20" spans="2:15" s="19" customFormat="1" ht="15">
      <c r="B20" s="51">
        <v>1200</v>
      </c>
      <c r="C20" s="30" t="s">
        <v>32</v>
      </c>
      <c r="D20" s="137" t="s">
        <v>35</v>
      </c>
      <c r="E20" s="138"/>
      <c r="F20" s="138"/>
      <c r="G20" s="139"/>
      <c r="H20" s="52">
        <v>1.92</v>
      </c>
      <c r="I20" s="53">
        <f t="shared" si="2"/>
        <v>2304</v>
      </c>
      <c r="J20" s="54"/>
      <c r="K20" s="7"/>
      <c r="L20" s="18"/>
      <c r="M20" s="55"/>
      <c r="N20" s="56"/>
      <c r="O20" s="56"/>
    </row>
    <row r="21" spans="2:15" s="19" customFormat="1" ht="15">
      <c r="B21" s="51">
        <v>800</v>
      </c>
      <c r="C21" s="30" t="s">
        <v>32</v>
      </c>
      <c r="D21" s="136" t="s">
        <v>36</v>
      </c>
      <c r="E21" s="136"/>
      <c r="F21" s="136"/>
      <c r="G21" s="136"/>
      <c r="H21" s="52">
        <v>4.72</v>
      </c>
      <c r="I21" s="53">
        <f>H21*B21</f>
        <v>3776</v>
      </c>
      <c r="J21" s="57">
        <f>H21*J40</f>
        <v>8.0134468116477731</v>
      </c>
      <c r="K21" s="7">
        <f>H21*B21</f>
        <v>3776</v>
      </c>
      <c r="L21" s="18"/>
      <c r="M21" s="55"/>
      <c r="N21" s="56"/>
      <c r="O21" s="56"/>
    </row>
    <row r="22" spans="2:15" s="19" customFormat="1" ht="15" hidden="1">
      <c r="B22" s="51"/>
      <c r="C22" s="30" t="s">
        <v>32</v>
      </c>
      <c r="D22" s="136" t="s">
        <v>37</v>
      </c>
      <c r="E22" s="136"/>
      <c r="F22" s="136"/>
      <c r="G22" s="136"/>
      <c r="H22" s="52">
        <v>62.5</v>
      </c>
      <c r="I22" s="53">
        <f t="shared" ref="I22:I29" si="3">H22*B22</f>
        <v>0</v>
      </c>
      <c r="J22" s="54"/>
      <c r="K22" s="31"/>
      <c r="L22" s="32"/>
      <c r="M22" s="33"/>
      <c r="N22" s="34"/>
      <c r="O22" s="34"/>
    </row>
    <row r="23" spans="2:15" s="19" customFormat="1" ht="15" hidden="1">
      <c r="B23" s="51"/>
      <c r="C23" s="30" t="s">
        <v>32</v>
      </c>
      <c r="D23" s="137" t="s">
        <v>38</v>
      </c>
      <c r="E23" s="138"/>
      <c r="F23" s="138"/>
      <c r="G23" s="139"/>
      <c r="H23" s="52">
        <v>49</v>
      </c>
      <c r="I23" s="53">
        <f t="shared" si="3"/>
        <v>0</v>
      </c>
      <c r="J23" s="54"/>
      <c r="K23" s="31">
        <v>667.83</v>
      </c>
      <c r="L23" s="32">
        <f>K23*1.45</f>
        <v>968.35350000000005</v>
      </c>
      <c r="M23" s="33">
        <f>L23/20</f>
        <v>48.417675000000003</v>
      </c>
      <c r="N23" s="34"/>
      <c r="O23" s="34"/>
    </row>
    <row r="24" spans="2:15" s="19" customFormat="1" ht="15" hidden="1">
      <c r="B24" s="51"/>
      <c r="C24" s="30" t="s">
        <v>32</v>
      </c>
      <c r="D24" s="137" t="s">
        <v>39</v>
      </c>
      <c r="E24" s="138"/>
      <c r="F24" s="138"/>
      <c r="G24" s="139"/>
      <c r="H24" s="52">
        <v>56</v>
      </c>
      <c r="I24" s="53">
        <f t="shared" si="3"/>
        <v>0</v>
      </c>
      <c r="J24" s="54"/>
      <c r="K24" s="31">
        <v>763.23</v>
      </c>
      <c r="L24" s="32">
        <f t="shared" ref="L24:L29" si="4">K24*1.45</f>
        <v>1106.6835000000001</v>
      </c>
      <c r="M24" s="33">
        <f t="shared" ref="M24:M29" si="5">L24/20</f>
        <v>55.334175000000002</v>
      </c>
      <c r="N24" s="34"/>
      <c r="O24" s="34"/>
    </row>
    <row r="25" spans="2:15" s="19" customFormat="1" ht="15" hidden="1">
      <c r="B25" s="51"/>
      <c r="C25" s="30" t="s">
        <v>32</v>
      </c>
      <c r="D25" s="137" t="s">
        <v>40</v>
      </c>
      <c r="E25" s="138"/>
      <c r="F25" s="138"/>
      <c r="G25" s="139"/>
      <c r="H25" s="52">
        <v>28</v>
      </c>
      <c r="I25" s="53">
        <f t="shared" si="3"/>
        <v>0</v>
      </c>
      <c r="J25" s="54"/>
      <c r="K25" s="31">
        <v>381.62</v>
      </c>
      <c r="L25" s="32">
        <f t="shared" si="4"/>
        <v>553.34900000000005</v>
      </c>
      <c r="M25" s="33">
        <f t="shared" si="5"/>
        <v>27.667450000000002</v>
      </c>
      <c r="N25" s="34"/>
      <c r="O25" s="34"/>
    </row>
    <row r="26" spans="2:15" s="19" customFormat="1" ht="15" hidden="1">
      <c r="B26" s="51"/>
      <c r="C26" s="30" t="s">
        <v>32</v>
      </c>
      <c r="D26" s="137" t="s">
        <v>41</v>
      </c>
      <c r="E26" s="138"/>
      <c r="F26" s="138"/>
      <c r="G26" s="139"/>
      <c r="H26" s="52">
        <f>M26</f>
        <v>279.19437499999998</v>
      </c>
      <c r="I26" s="53">
        <f t="shared" si="3"/>
        <v>0</v>
      </c>
      <c r="J26" s="54"/>
      <c r="K26" s="31">
        <v>4467.1099999999997</v>
      </c>
      <c r="L26" s="32">
        <f>K26*1.25</f>
        <v>5583.8874999999998</v>
      </c>
      <c r="M26" s="33">
        <f t="shared" si="5"/>
        <v>279.19437499999998</v>
      </c>
      <c r="N26" s="34"/>
      <c r="O26" s="34"/>
    </row>
    <row r="27" spans="2:15" s="19" customFormat="1" ht="15" hidden="1">
      <c r="B27" s="51"/>
      <c r="C27" s="30" t="s">
        <v>32</v>
      </c>
      <c r="D27" s="137" t="s">
        <v>42</v>
      </c>
      <c r="E27" s="138"/>
      <c r="F27" s="138"/>
      <c r="G27" s="139"/>
      <c r="H27" s="52">
        <f t="shared" ref="H27:H29" si="6">M27</f>
        <v>200.29124999999999</v>
      </c>
      <c r="I27" s="53">
        <f t="shared" si="3"/>
        <v>0</v>
      </c>
      <c r="J27" s="54"/>
      <c r="K27" s="31">
        <v>3204.66</v>
      </c>
      <c r="L27" s="32">
        <f t="shared" ref="L27:L28" si="7">K27*1.25</f>
        <v>4005.8249999999998</v>
      </c>
      <c r="M27" s="33">
        <f t="shared" si="5"/>
        <v>200.29124999999999</v>
      </c>
      <c r="N27" s="34"/>
      <c r="O27" s="34"/>
    </row>
    <row r="28" spans="2:15" s="19" customFormat="1" ht="15" hidden="1">
      <c r="B28" s="51"/>
      <c r="C28" s="30" t="s">
        <v>32</v>
      </c>
      <c r="D28" s="137" t="s">
        <v>43</v>
      </c>
      <c r="E28" s="138"/>
      <c r="F28" s="138"/>
      <c r="G28" s="139"/>
      <c r="H28" s="52">
        <f t="shared" si="6"/>
        <v>97.110624999999999</v>
      </c>
      <c r="I28" s="53">
        <f t="shared" si="3"/>
        <v>0</v>
      </c>
      <c r="J28" s="54"/>
      <c r="K28" s="31">
        <v>1553.77</v>
      </c>
      <c r="L28" s="32">
        <f t="shared" si="7"/>
        <v>1942.2125000000001</v>
      </c>
      <c r="M28" s="33">
        <f t="shared" si="5"/>
        <v>97.110624999999999</v>
      </c>
      <c r="N28" s="34"/>
      <c r="O28" s="34"/>
    </row>
    <row r="29" spans="2:15" s="19" customFormat="1" ht="15" hidden="1">
      <c r="B29" s="51"/>
      <c r="C29" s="30" t="s">
        <v>32</v>
      </c>
      <c r="D29" s="144" t="s">
        <v>44</v>
      </c>
      <c r="E29" s="145"/>
      <c r="F29" s="145"/>
      <c r="G29" s="146"/>
      <c r="H29" s="52">
        <f t="shared" si="6"/>
        <v>131.80500000000001</v>
      </c>
      <c r="I29" s="53">
        <f t="shared" si="3"/>
        <v>0</v>
      </c>
      <c r="J29" s="54"/>
      <c r="K29" s="31">
        <v>1818</v>
      </c>
      <c r="L29" s="32">
        <f t="shared" si="4"/>
        <v>2636.1</v>
      </c>
      <c r="M29" s="33">
        <f t="shared" si="5"/>
        <v>131.80500000000001</v>
      </c>
      <c r="N29" s="34"/>
      <c r="O29" s="34"/>
    </row>
    <row r="30" spans="2:15" s="19" customFormat="1" ht="15" hidden="1">
      <c r="B30" s="4"/>
      <c r="C30" s="30" t="s">
        <v>32</v>
      </c>
      <c r="D30" s="136" t="s">
        <v>45</v>
      </c>
      <c r="E30" s="136"/>
      <c r="F30" s="136"/>
      <c r="G30" s="136"/>
      <c r="H30" s="52">
        <v>0</v>
      </c>
      <c r="I30" s="53">
        <f>H30*B30</f>
        <v>0</v>
      </c>
      <c r="J30" s="54"/>
      <c r="K30" s="7"/>
      <c r="L30" s="18"/>
      <c r="M30" s="55"/>
      <c r="N30" s="56"/>
      <c r="O30" s="56"/>
    </row>
    <row r="31" spans="2:15" s="19" customFormat="1" ht="15" hidden="1">
      <c r="B31" s="4"/>
      <c r="C31" s="30" t="s">
        <v>32</v>
      </c>
      <c r="D31" s="136" t="s">
        <v>46</v>
      </c>
      <c r="E31" s="136"/>
      <c r="F31" s="136"/>
      <c r="G31" s="136"/>
      <c r="H31" s="52">
        <v>0</v>
      </c>
      <c r="I31" s="53">
        <f>H31*B31</f>
        <v>0</v>
      </c>
      <c r="J31" s="54"/>
      <c r="K31" s="7"/>
      <c r="L31" s="18"/>
      <c r="M31" s="55"/>
      <c r="N31" s="56"/>
      <c r="O31" s="56"/>
    </row>
    <row r="32" spans="2:15" s="19" customFormat="1" ht="15" hidden="1">
      <c r="B32" s="4"/>
      <c r="C32" s="30" t="s">
        <v>23</v>
      </c>
      <c r="D32" s="137" t="s">
        <v>47</v>
      </c>
      <c r="E32" s="138"/>
      <c r="F32" s="138"/>
      <c r="G32" s="139"/>
      <c r="H32" s="52">
        <v>80</v>
      </c>
      <c r="I32" s="53">
        <f>H32*B32</f>
        <v>0</v>
      </c>
      <c r="J32" s="54"/>
      <c r="K32" s="7"/>
      <c r="L32" s="18"/>
      <c r="M32" s="55"/>
      <c r="N32" s="56"/>
      <c r="O32" s="56"/>
    </row>
    <row r="33" spans="2:15" s="10" customFormat="1" ht="15.75">
      <c r="B33" s="64"/>
      <c r="C33" s="65" t="s">
        <v>48</v>
      </c>
      <c r="D33" s="140" t="s">
        <v>49</v>
      </c>
      <c r="E33" s="140"/>
      <c r="F33" s="140"/>
      <c r="G33" s="140"/>
      <c r="H33" s="66" t="s">
        <v>50</v>
      </c>
      <c r="I33" s="67">
        <f>SUM(I11:I32)</f>
        <v>9622</v>
      </c>
      <c r="J33" s="8"/>
      <c r="K33" s="9"/>
      <c r="L33" s="20"/>
      <c r="M33" s="10">
        <f>O33*N33</f>
        <v>264</v>
      </c>
      <c r="N33" s="10">
        <v>6</v>
      </c>
      <c r="O33" s="10">
        <v>44</v>
      </c>
    </row>
    <row r="34" spans="2:15" customFormat="1" ht="6.6" customHeight="1">
      <c r="B34" s="141"/>
      <c r="C34" s="142"/>
      <c r="D34" s="142"/>
      <c r="E34" s="142"/>
      <c r="F34" s="142"/>
      <c r="G34" s="142"/>
      <c r="H34" s="142"/>
      <c r="I34" s="143"/>
      <c r="J34" s="11"/>
      <c r="N34">
        <v>4</v>
      </c>
    </row>
    <row r="35" spans="2:15" customFormat="1" ht="8.1" customHeight="1">
      <c r="B35" s="141"/>
      <c r="C35" s="142"/>
      <c r="D35" s="142"/>
      <c r="E35" s="142"/>
      <c r="F35" s="142"/>
      <c r="G35" s="142"/>
      <c r="H35" s="142"/>
      <c r="I35" s="143"/>
      <c r="J35" s="11"/>
    </row>
    <row r="36" spans="2:15" customFormat="1" ht="17.45" customHeight="1">
      <c r="B36" s="21" t="s">
        <v>48</v>
      </c>
      <c r="C36" s="22"/>
      <c r="D36" s="115"/>
      <c r="E36" s="116"/>
      <c r="F36" s="116"/>
      <c r="G36" s="117"/>
      <c r="H36" s="59" t="s">
        <v>51</v>
      </c>
      <c r="I36" s="58">
        <f>I33</f>
        <v>9622</v>
      </c>
      <c r="K36" s="15"/>
      <c r="L36" s="16"/>
    </row>
    <row r="37" spans="2:15" s="1" customFormat="1" ht="16.5" customHeight="1">
      <c r="B37" s="118" t="s">
        <v>52</v>
      </c>
      <c r="C37" s="119"/>
      <c r="D37" s="119"/>
      <c r="E37" s="119"/>
      <c r="F37" s="119"/>
      <c r="G37" s="120"/>
      <c r="H37" s="36" t="s">
        <v>53</v>
      </c>
      <c r="I37" s="23">
        <f>I36</f>
        <v>9622</v>
      </c>
      <c r="K37" s="24"/>
      <c r="N37" s="1">
        <v>1876</v>
      </c>
      <c r="O37" s="1">
        <v>1763.4399999999998</v>
      </c>
    </row>
    <row r="38" spans="2:15" s="1" customFormat="1" ht="17.100000000000001" customHeight="1">
      <c r="B38" s="121" t="s">
        <v>54</v>
      </c>
      <c r="C38" s="122"/>
      <c r="D38" s="127" t="s">
        <v>55</v>
      </c>
      <c r="E38" s="128"/>
      <c r="F38" s="128"/>
      <c r="G38" s="129"/>
      <c r="H38" s="60" t="s">
        <v>56</v>
      </c>
      <c r="I38" s="25">
        <f>I37*0.05</f>
        <v>481.1</v>
      </c>
      <c r="J38" s="3"/>
      <c r="K38" s="24">
        <v>17.5</v>
      </c>
      <c r="L38" s="1">
        <f>J38/K38</f>
        <v>0</v>
      </c>
      <c r="N38" s="1">
        <v>2032</v>
      </c>
      <c r="O38" s="1">
        <v>1097.28</v>
      </c>
    </row>
    <row r="39" spans="2:15" s="1" customFormat="1" ht="18.600000000000001" customHeight="1">
      <c r="B39" s="123"/>
      <c r="C39" s="124"/>
      <c r="D39" s="130"/>
      <c r="E39" s="131"/>
      <c r="F39" s="131"/>
      <c r="G39" s="132"/>
      <c r="H39" s="36" t="s">
        <v>57</v>
      </c>
      <c r="I39" s="23">
        <f>I37+I38</f>
        <v>10103.1</v>
      </c>
      <c r="N39" s="1">
        <v>0</v>
      </c>
      <c r="O39" s="1">
        <v>0</v>
      </c>
    </row>
    <row r="40" spans="2:15" s="1" customFormat="1" ht="16.5" customHeight="1">
      <c r="B40" s="123"/>
      <c r="C40" s="124"/>
      <c r="D40" s="130"/>
      <c r="E40" s="131"/>
      <c r="F40" s="131"/>
      <c r="G40" s="132"/>
      <c r="H40" s="60" t="s">
        <v>58</v>
      </c>
      <c r="I40" s="25">
        <f>I39*0.16</f>
        <v>1616.4960000000001</v>
      </c>
      <c r="J40" s="1">
        <f>J41/I41</f>
        <v>1.6977641550101215</v>
      </c>
      <c r="N40" s="1">
        <v>0</v>
      </c>
      <c r="O40" s="1">
        <v>0</v>
      </c>
    </row>
    <row r="41" spans="2:15" s="1" customFormat="1" ht="18.600000000000001" customHeight="1">
      <c r="B41" s="125"/>
      <c r="C41" s="126"/>
      <c r="D41" s="133"/>
      <c r="E41" s="134"/>
      <c r="F41" s="134"/>
      <c r="G41" s="135"/>
      <c r="H41" s="36" t="s">
        <v>59</v>
      </c>
      <c r="I41" s="37">
        <f>I39+I40</f>
        <v>11719.596000000001</v>
      </c>
      <c r="J41" s="26">
        <v>19897.11</v>
      </c>
      <c r="K41" s="27"/>
      <c r="L41" s="27"/>
      <c r="N41" s="1">
        <v>53</v>
      </c>
      <c r="O41" s="1">
        <v>3312.5</v>
      </c>
    </row>
    <row r="42" spans="2:15">
      <c r="B42" s="83"/>
      <c r="C42" s="84"/>
      <c r="D42" s="84"/>
      <c r="E42" s="84"/>
      <c r="F42" s="84"/>
      <c r="G42" s="84"/>
      <c r="H42" s="84"/>
      <c r="I42" s="85"/>
      <c r="N42" s="13">
        <v>65</v>
      </c>
      <c r="O42" s="13">
        <v>121.55000000000001</v>
      </c>
    </row>
    <row r="43" spans="2:15" ht="18" customHeight="1">
      <c r="B43" s="118" t="s">
        <v>60</v>
      </c>
      <c r="C43" s="119"/>
      <c r="D43" s="119"/>
      <c r="E43" s="119"/>
      <c r="F43" s="119"/>
      <c r="G43" s="119"/>
      <c r="H43" s="119"/>
      <c r="I43" s="120"/>
      <c r="N43" s="13">
        <v>512</v>
      </c>
      <c r="O43" s="13">
        <v>762.88</v>
      </c>
    </row>
    <row r="44" spans="2:15" ht="74.25" customHeight="1">
      <c r="B44" s="102" t="s">
        <v>61</v>
      </c>
      <c r="C44" s="103"/>
      <c r="D44" s="104" t="s">
        <v>62</v>
      </c>
      <c r="E44" s="105"/>
      <c r="F44" s="105"/>
      <c r="G44" s="106"/>
      <c r="H44" s="107"/>
      <c r="I44" s="108"/>
      <c r="O44" s="13">
        <v>0</v>
      </c>
    </row>
    <row r="45" spans="2:15" ht="19.5" customHeight="1">
      <c r="B45" s="111" t="s">
        <v>63</v>
      </c>
      <c r="C45" s="112"/>
      <c r="D45" s="99" t="s">
        <v>64</v>
      </c>
      <c r="E45" s="100"/>
      <c r="F45" s="100"/>
      <c r="G45" s="101"/>
      <c r="H45" s="109"/>
      <c r="I45" s="110"/>
      <c r="O45" s="13">
        <v>0</v>
      </c>
    </row>
    <row r="46" spans="2:15" ht="25.5" customHeight="1">
      <c r="B46" s="102" t="s">
        <v>65</v>
      </c>
      <c r="C46" s="103"/>
      <c r="D46" s="99" t="s">
        <v>66</v>
      </c>
      <c r="E46" s="100"/>
      <c r="F46" s="100"/>
      <c r="G46" s="101"/>
      <c r="H46" s="113" t="s">
        <v>67</v>
      </c>
      <c r="I46" s="114"/>
      <c r="O46" s="13">
        <v>0</v>
      </c>
    </row>
    <row r="47" spans="2:15" ht="18" customHeight="1">
      <c r="B47" s="73" t="s">
        <v>68</v>
      </c>
      <c r="C47" s="74"/>
      <c r="D47" s="61" t="s">
        <v>69</v>
      </c>
      <c r="E47" s="86">
        <f>I41</f>
        <v>11719.596000000001</v>
      </c>
      <c r="F47" s="87"/>
      <c r="G47" s="88"/>
      <c r="H47" s="89"/>
      <c r="I47" s="90"/>
      <c r="K47" s="13">
        <v>2500</v>
      </c>
      <c r="L47" s="13">
        <v>17.5</v>
      </c>
      <c r="M47" s="13">
        <f>K47/L47</f>
        <v>142.85714285714286</v>
      </c>
      <c r="O47" s="13">
        <v>0</v>
      </c>
    </row>
    <row r="48" spans="2:15" ht="33.75" customHeight="1">
      <c r="B48" s="95" t="s">
        <v>70</v>
      </c>
      <c r="C48" s="96"/>
      <c r="D48" s="35" t="s">
        <v>71</v>
      </c>
      <c r="E48" s="99" t="s">
        <v>72</v>
      </c>
      <c r="F48" s="100"/>
      <c r="G48" s="101"/>
      <c r="H48" s="91"/>
      <c r="I48" s="92"/>
      <c r="K48" s="13">
        <v>25</v>
      </c>
      <c r="L48" s="13">
        <v>4.05</v>
      </c>
      <c r="O48" s="13">
        <v>0</v>
      </c>
    </row>
    <row r="49" spans="2:15" ht="44.25" hidden="1" customHeight="1">
      <c r="B49" s="97"/>
      <c r="C49" s="98"/>
      <c r="D49" s="35" t="s">
        <v>73</v>
      </c>
      <c r="E49" s="99" t="s">
        <v>74</v>
      </c>
      <c r="F49" s="100"/>
      <c r="G49" s="101"/>
      <c r="H49" s="93"/>
      <c r="I49" s="94"/>
      <c r="O49" s="13">
        <v>0</v>
      </c>
    </row>
    <row r="50" spans="2:15" ht="21.6" customHeight="1">
      <c r="B50" s="73" t="s">
        <v>75</v>
      </c>
      <c r="C50" s="74"/>
      <c r="D50" s="75" t="s">
        <v>66</v>
      </c>
      <c r="E50" s="76"/>
      <c r="F50" s="76"/>
      <c r="G50" s="77"/>
      <c r="H50" s="78" t="s">
        <v>76</v>
      </c>
      <c r="I50" s="79"/>
      <c r="K50" s="13">
        <v>35.5</v>
      </c>
      <c r="L50" s="13">
        <f>(K50*L48)/K48</f>
        <v>5.7510000000000003</v>
      </c>
      <c r="O50" s="13">
        <v>0</v>
      </c>
    </row>
    <row r="51" spans="2:15" ht="32.1" hidden="1" customHeight="1">
      <c r="B51" s="73" t="s">
        <v>77</v>
      </c>
      <c r="C51" s="74"/>
      <c r="D51" s="80"/>
      <c r="E51" s="81"/>
      <c r="F51" s="81"/>
      <c r="G51" s="81"/>
      <c r="H51" s="81"/>
      <c r="I51" s="82"/>
      <c r="O51" s="13">
        <v>0</v>
      </c>
    </row>
    <row r="52" spans="2:15" ht="81.75" customHeight="1">
      <c r="B52" s="83"/>
      <c r="C52" s="84"/>
      <c r="D52" s="84"/>
      <c r="E52" s="84"/>
      <c r="F52" s="84"/>
      <c r="G52" s="84"/>
      <c r="H52" s="84"/>
      <c r="I52" s="85"/>
      <c r="O52" s="13">
        <v>0</v>
      </c>
    </row>
    <row r="53" spans="2:15" ht="18">
      <c r="B53" s="70" t="s">
        <v>78</v>
      </c>
      <c r="C53" s="71"/>
      <c r="D53" s="71"/>
      <c r="E53" s="71"/>
      <c r="F53" s="71"/>
      <c r="G53" s="71"/>
      <c r="H53" s="71"/>
      <c r="I53" s="72"/>
      <c r="O53" s="13">
        <v>0</v>
      </c>
    </row>
    <row r="54" spans="2:15" ht="18">
      <c r="B54" s="70" t="s">
        <v>79</v>
      </c>
      <c r="C54" s="71"/>
      <c r="D54" s="71"/>
      <c r="E54" s="71"/>
      <c r="F54" s="71"/>
      <c r="G54" s="71"/>
      <c r="H54" s="71"/>
      <c r="I54" s="72"/>
      <c r="N54" s="13">
        <v>68</v>
      </c>
      <c r="O54" s="13">
        <v>202.64</v>
      </c>
    </row>
    <row r="55" spans="2:15">
      <c r="O55" s="13">
        <v>0</v>
      </c>
    </row>
    <row r="56" spans="2:15">
      <c r="O56" s="13">
        <v>0</v>
      </c>
    </row>
    <row r="57" spans="2:15">
      <c r="O57" s="13">
        <v>0</v>
      </c>
    </row>
    <row r="58" spans="2:15">
      <c r="D58" s="12"/>
      <c r="O58" s="13">
        <v>0</v>
      </c>
    </row>
    <row r="59" spans="2:15">
      <c r="D59" s="12"/>
      <c r="O59" s="13">
        <v>0</v>
      </c>
    </row>
    <row r="60" spans="2:15">
      <c r="D60" s="12"/>
      <c r="O60" s="13">
        <v>0</v>
      </c>
    </row>
    <row r="61" spans="2:15">
      <c r="D61" s="12"/>
      <c r="O61" s="13">
        <v>0</v>
      </c>
    </row>
    <row r="62" spans="2:15">
      <c r="D62" s="12"/>
      <c r="O62" s="13">
        <v>0</v>
      </c>
    </row>
    <row r="63" spans="2:15">
      <c r="C63" s="29"/>
      <c r="D63" s="14"/>
      <c r="O63" s="13">
        <v>0</v>
      </c>
    </row>
    <row r="64" spans="2:15">
      <c r="D64" s="12"/>
      <c r="O64" s="13">
        <v>0</v>
      </c>
    </row>
    <row r="65" spans="4:15">
      <c r="D65" s="12"/>
      <c r="O65" s="13">
        <v>0</v>
      </c>
    </row>
    <row r="66" spans="4:15">
      <c r="O66" s="13">
        <v>0</v>
      </c>
    </row>
    <row r="67" spans="4:15">
      <c r="O67" s="13">
        <v>0</v>
      </c>
    </row>
    <row r="68" spans="4:15">
      <c r="O68" s="13">
        <v>0</v>
      </c>
    </row>
    <row r="69" spans="4:15">
      <c r="O69" s="13">
        <v>0</v>
      </c>
    </row>
    <row r="70" spans="4:15">
      <c r="O70" s="13">
        <v>7260.29</v>
      </c>
    </row>
  </sheetData>
  <mergeCells count="70">
    <mergeCell ref="D20:G20"/>
    <mergeCell ref="B8:I8"/>
    <mergeCell ref="B9:I9"/>
    <mergeCell ref="D10:G10"/>
    <mergeCell ref="D17:G17"/>
    <mergeCell ref="D12:G12"/>
    <mergeCell ref="D14:G14"/>
    <mergeCell ref="D15:G15"/>
    <mergeCell ref="D16:G16"/>
    <mergeCell ref="D19:G19"/>
    <mergeCell ref="D18:G18"/>
    <mergeCell ref="D11:G11"/>
    <mergeCell ref="D21:G21"/>
    <mergeCell ref="B1:C1"/>
    <mergeCell ref="D1:G1"/>
    <mergeCell ref="B6:C6"/>
    <mergeCell ref="D6:I6"/>
    <mergeCell ref="B7:C7"/>
    <mergeCell ref="B5:C5"/>
    <mergeCell ref="D5:I5"/>
    <mergeCell ref="H1:I1"/>
    <mergeCell ref="D2:G2"/>
    <mergeCell ref="B3:C3"/>
    <mergeCell ref="D3:I3"/>
    <mergeCell ref="B4:C4"/>
    <mergeCell ref="D4:I4"/>
    <mergeCell ref="D7:G7"/>
    <mergeCell ref="D13:G13"/>
    <mergeCell ref="D51:I51"/>
    <mergeCell ref="D22:G22"/>
    <mergeCell ref="D25:G25"/>
    <mergeCell ref="D23:G23"/>
    <mergeCell ref="B35:I35"/>
    <mergeCell ref="B43:I43"/>
    <mergeCell ref="D31:G31"/>
    <mergeCell ref="D33:G33"/>
    <mergeCell ref="D30:G30"/>
    <mergeCell ref="D29:G29"/>
    <mergeCell ref="B37:G37"/>
    <mergeCell ref="D36:G36"/>
    <mergeCell ref="B44:C44"/>
    <mergeCell ref="D24:G24"/>
    <mergeCell ref="B34:I34"/>
    <mergeCell ref="D44:G44"/>
    <mergeCell ref="H44:I45"/>
    <mergeCell ref="D32:G32"/>
    <mergeCell ref="B45:C45"/>
    <mergeCell ref="D45:G45"/>
    <mergeCell ref="B42:I42"/>
    <mergeCell ref="D26:G26"/>
    <mergeCell ref="D27:G27"/>
    <mergeCell ref="D28:G28"/>
    <mergeCell ref="B38:C41"/>
    <mergeCell ref="D38:G41"/>
    <mergeCell ref="B54:I54"/>
    <mergeCell ref="B46:C46"/>
    <mergeCell ref="D46:G46"/>
    <mergeCell ref="H46:I46"/>
    <mergeCell ref="B47:C47"/>
    <mergeCell ref="E48:G48"/>
    <mergeCell ref="B50:C50"/>
    <mergeCell ref="D50:G50"/>
    <mergeCell ref="H50:I50"/>
    <mergeCell ref="B48:C49"/>
    <mergeCell ref="E49:G49"/>
    <mergeCell ref="E47:G47"/>
    <mergeCell ref="H47:I49"/>
    <mergeCell ref="B52:I52"/>
    <mergeCell ref="B53:I53"/>
    <mergeCell ref="B51:C51"/>
  </mergeCells>
  <conditionalFormatting sqref="L9:L33">
    <cfRule type="expression" dxfId="9" priority="20" stopIfTrue="1">
      <formula>#REF!="Error"</formula>
    </cfRule>
  </conditionalFormatting>
  <conditionalFormatting sqref="L36">
    <cfRule type="expression" dxfId="8" priority="33" stopIfTrue="1">
      <formula>#REF!="Error"</formula>
    </cfRule>
  </conditionalFormatting>
  <pageMargins left="0.51181102362204722" right="0.31496062992125984" top="0.35433070866141736" bottom="0.35433070866141736" header="0.31496062992125984" footer="0.31496062992125984"/>
  <pageSetup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301A-359D-C540-9AE7-E763EE9563B7}">
  <dimension ref="A1:O70"/>
  <sheetViews>
    <sheetView topLeftCell="B1" zoomScaleNormal="100" zoomScaleSheetLayoutView="100" workbookViewId="0">
      <selection activeCell="D3" sqref="D3:I3"/>
    </sheetView>
  </sheetViews>
  <sheetFormatPr defaultColWidth="11.42578125" defaultRowHeight="12.75"/>
  <cols>
    <col min="1" max="1" width="2" style="13" hidden="1" customWidth="1"/>
    <col min="2" max="3" width="16.42578125" style="13" customWidth="1"/>
    <col min="4" max="4" width="15.7109375" style="13" customWidth="1"/>
    <col min="5" max="6" width="11.42578125" style="13"/>
    <col min="7" max="7" width="28.28515625" style="13" customWidth="1"/>
    <col min="8" max="8" width="18.140625" style="28" customWidth="1"/>
    <col min="9" max="9" width="19.42578125" style="28" customWidth="1"/>
    <col min="10" max="10" width="18.140625" style="13" customWidth="1"/>
    <col min="11" max="11" width="14.28515625" style="13" customWidth="1"/>
    <col min="12" max="12" width="11.7109375" style="13" customWidth="1"/>
    <col min="13" max="13" width="11.42578125" style="13"/>
    <col min="14" max="14" width="11.7109375" style="13" customWidth="1"/>
    <col min="15" max="16384" width="11.42578125" style="13"/>
  </cols>
  <sheetData>
    <row r="1" spans="2:15" ht="90.75" customHeight="1">
      <c r="B1" s="160"/>
      <c r="C1" s="160"/>
      <c r="D1" s="161" t="s">
        <v>0</v>
      </c>
      <c r="E1" s="161"/>
      <c r="F1" s="161"/>
      <c r="G1" s="161"/>
      <c r="H1" s="162" t="s">
        <v>1</v>
      </c>
      <c r="I1" s="162"/>
    </row>
    <row r="2" spans="2:15" ht="19.5" customHeight="1">
      <c r="B2" s="43" t="s">
        <v>2</v>
      </c>
      <c r="C2" s="44">
        <f ca="1">TODAY()</f>
        <v>46320</v>
      </c>
      <c r="D2" s="163"/>
      <c r="E2" s="163"/>
      <c r="F2" s="163"/>
      <c r="G2" s="163"/>
      <c r="H2" s="2" t="s">
        <v>3</v>
      </c>
      <c r="I2" s="2" t="s">
        <v>80</v>
      </c>
      <c r="K2" s="5"/>
    </row>
    <row r="3" spans="2:15" ht="15.95" customHeight="1">
      <c r="B3" s="151" t="s">
        <v>5</v>
      </c>
      <c r="C3" s="151"/>
      <c r="D3" s="152" t="s">
        <v>6</v>
      </c>
      <c r="E3" s="152"/>
      <c r="F3" s="152"/>
      <c r="G3" s="152"/>
      <c r="H3" s="152"/>
      <c r="I3" s="152"/>
      <c r="K3" s="5"/>
    </row>
    <row r="4" spans="2:15" ht="17.100000000000001" customHeight="1">
      <c r="B4" s="151" t="s">
        <v>7</v>
      </c>
      <c r="C4" s="151"/>
      <c r="D4" s="152" t="s">
        <v>8</v>
      </c>
      <c r="E4" s="152"/>
      <c r="F4" s="152"/>
      <c r="G4" s="152"/>
      <c r="H4" s="152"/>
      <c r="I4" s="152"/>
      <c r="K4" s="5"/>
    </row>
    <row r="5" spans="2:15" ht="15.6" customHeight="1">
      <c r="B5" s="78" t="s">
        <v>9</v>
      </c>
      <c r="C5" s="79"/>
      <c r="D5" s="156" t="s">
        <v>10</v>
      </c>
      <c r="E5" s="157"/>
      <c r="F5" s="157"/>
      <c r="G5" s="157"/>
      <c r="H5" s="157"/>
      <c r="I5" s="158"/>
      <c r="K5" s="5"/>
    </row>
    <row r="6" spans="2:15" ht="14.45" customHeight="1">
      <c r="B6" s="151" t="s">
        <v>11</v>
      </c>
      <c r="C6" s="151"/>
      <c r="D6" s="152" t="s">
        <v>12</v>
      </c>
      <c r="E6" s="152"/>
      <c r="F6" s="152"/>
      <c r="G6" s="152"/>
      <c r="H6" s="152"/>
      <c r="I6" s="159"/>
    </row>
    <row r="7" spans="2:15" ht="17.100000000000001" customHeight="1" thickBot="1">
      <c r="B7" s="151" t="s">
        <v>13</v>
      </c>
      <c r="C7" s="151"/>
      <c r="D7" s="152" t="s">
        <v>14</v>
      </c>
      <c r="E7" s="152"/>
      <c r="F7" s="152"/>
      <c r="G7" s="152"/>
      <c r="H7" s="68" t="s">
        <v>15</v>
      </c>
      <c r="I7" s="69" t="s">
        <v>16</v>
      </c>
      <c r="L7" s="42" t="e">
        <f>#REF!*#REF!</f>
        <v>#REF!</v>
      </c>
    </row>
    <row r="8" spans="2:15" ht="9.9499999999999993" customHeight="1">
      <c r="B8" s="153"/>
      <c r="C8" s="153"/>
      <c r="D8" s="153"/>
      <c r="E8" s="153"/>
      <c r="F8" s="153"/>
      <c r="G8" s="153"/>
      <c r="H8" s="153"/>
      <c r="I8" s="153"/>
    </row>
    <row r="9" spans="2:15" customFormat="1" ht="15.75" customHeight="1">
      <c r="B9" s="154" t="s">
        <v>17</v>
      </c>
      <c r="C9" s="154"/>
      <c r="D9" s="154"/>
      <c r="E9" s="154"/>
      <c r="F9" s="154"/>
      <c r="G9" s="154"/>
      <c r="H9" s="154"/>
      <c r="I9" s="154"/>
      <c r="K9" s="15"/>
      <c r="L9" s="16"/>
    </row>
    <row r="10" spans="2:15" s="6" customFormat="1" ht="15">
      <c r="B10" s="45" t="s">
        <v>18</v>
      </c>
      <c r="C10" s="46" t="s">
        <v>19</v>
      </c>
      <c r="D10" s="155" t="s">
        <v>20</v>
      </c>
      <c r="E10" s="155"/>
      <c r="F10" s="155"/>
      <c r="G10" s="155"/>
      <c r="H10" s="47" t="s">
        <v>21</v>
      </c>
      <c r="I10" s="47" t="s">
        <v>22</v>
      </c>
      <c r="J10" s="48"/>
      <c r="K10" s="15"/>
      <c r="L10" s="17"/>
      <c r="M10" s="48"/>
      <c r="N10" s="48"/>
      <c r="O10" s="48"/>
    </row>
    <row r="11" spans="2:15" s="40" customFormat="1" ht="15" hidden="1">
      <c r="B11" s="62">
        <v>0</v>
      </c>
      <c r="C11" s="63" t="s">
        <v>23</v>
      </c>
      <c r="D11" s="147" t="s">
        <v>24</v>
      </c>
      <c r="E11" s="147"/>
      <c r="F11" s="147"/>
      <c r="G11" s="147"/>
      <c r="H11" s="52">
        <f>(6.5*380)</f>
        <v>2470</v>
      </c>
      <c r="I11" s="52">
        <f t="shared" ref="I11:I20" si="0">H11*B11</f>
        <v>0</v>
      </c>
      <c r="J11" s="41"/>
      <c r="K11" s="38"/>
      <c r="L11" s="39"/>
      <c r="M11" s="49">
        <v>1050</v>
      </c>
      <c r="N11" s="50">
        <v>20</v>
      </c>
      <c r="O11" s="49">
        <f>M11/N11</f>
        <v>52.5</v>
      </c>
    </row>
    <row r="12" spans="2:15" s="40" customFormat="1" ht="15" hidden="1">
      <c r="B12" s="62">
        <v>0</v>
      </c>
      <c r="C12" s="63" t="s">
        <v>23</v>
      </c>
      <c r="D12" s="147" t="s">
        <v>25</v>
      </c>
      <c r="E12" s="147"/>
      <c r="F12" s="147"/>
      <c r="G12" s="147"/>
      <c r="H12" s="52">
        <v>4500</v>
      </c>
      <c r="I12" s="52">
        <f t="shared" si="0"/>
        <v>0</v>
      </c>
      <c r="J12" s="41"/>
      <c r="K12" s="38"/>
      <c r="L12" s="39"/>
      <c r="M12" s="49"/>
      <c r="N12" s="50"/>
      <c r="O12" s="50"/>
    </row>
    <row r="13" spans="2:15" s="40" customFormat="1" ht="15" hidden="1">
      <c r="B13" s="62">
        <v>0</v>
      </c>
      <c r="C13" s="63" t="s">
        <v>23</v>
      </c>
      <c r="D13" s="147" t="s">
        <v>26</v>
      </c>
      <c r="E13" s="147"/>
      <c r="F13" s="147"/>
      <c r="G13" s="147"/>
      <c r="H13" s="52">
        <f>91*45</f>
        <v>4095</v>
      </c>
      <c r="I13" s="52">
        <f t="shared" si="0"/>
        <v>0</v>
      </c>
      <c r="J13" s="41"/>
      <c r="K13" s="38"/>
      <c r="L13" s="39"/>
      <c r="M13" s="49"/>
      <c r="N13" s="50"/>
      <c r="O13" s="50"/>
    </row>
    <row r="14" spans="2:15" s="40" customFormat="1" ht="15" hidden="1">
      <c r="B14" s="62">
        <v>0</v>
      </c>
      <c r="C14" s="63" t="s">
        <v>23</v>
      </c>
      <c r="D14" s="147" t="s">
        <v>27</v>
      </c>
      <c r="E14" s="147"/>
      <c r="F14" s="147"/>
      <c r="G14" s="147"/>
      <c r="H14" s="52">
        <f>(36.8*280)</f>
        <v>10304</v>
      </c>
      <c r="I14" s="52">
        <f t="shared" si="0"/>
        <v>0</v>
      </c>
      <c r="J14" s="41"/>
      <c r="K14" s="38"/>
      <c r="L14" s="39"/>
      <c r="M14" s="49">
        <v>63</v>
      </c>
      <c r="N14" s="50"/>
      <c r="O14" s="50"/>
    </row>
    <row r="15" spans="2:15" s="40" customFormat="1" ht="15" hidden="1">
      <c r="B15" s="62">
        <v>0</v>
      </c>
      <c r="C15" s="63" t="s">
        <v>23</v>
      </c>
      <c r="D15" s="136" t="s">
        <v>28</v>
      </c>
      <c r="E15" s="136"/>
      <c r="F15" s="136"/>
      <c r="G15" s="136"/>
      <c r="H15" s="52">
        <v>250</v>
      </c>
      <c r="I15" s="52">
        <f t="shared" si="0"/>
        <v>0</v>
      </c>
      <c r="J15" s="41"/>
      <c r="K15" s="38"/>
      <c r="L15" s="39"/>
      <c r="M15" s="49"/>
      <c r="N15" s="50"/>
      <c r="O15" s="50"/>
    </row>
    <row r="16" spans="2:15" s="40" customFormat="1" ht="15" hidden="1">
      <c r="B16" s="62">
        <v>0</v>
      </c>
      <c r="C16" s="63" t="s">
        <v>23</v>
      </c>
      <c r="D16" s="136" t="s">
        <v>29</v>
      </c>
      <c r="E16" s="136"/>
      <c r="F16" s="136"/>
      <c r="G16" s="136"/>
      <c r="H16" s="52">
        <f>(3*280)</f>
        <v>840</v>
      </c>
      <c r="I16" s="52">
        <f t="shared" si="0"/>
        <v>0</v>
      </c>
      <c r="J16" s="41"/>
      <c r="K16" s="38"/>
      <c r="L16" s="39"/>
      <c r="M16" s="49"/>
      <c r="N16" s="50"/>
      <c r="O16" s="50"/>
    </row>
    <row r="17" spans="2:15" s="40" customFormat="1" ht="15" hidden="1">
      <c r="B17" s="51">
        <v>0</v>
      </c>
      <c r="C17" s="30" t="s">
        <v>30</v>
      </c>
      <c r="D17" s="148" t="s">
        <v>31</v>
      </c>
      <c r="E17" s="149"/>
      <c r="F17" s="149"/>
      <c r="G17" s="150"/>
      <c r="H17" s="52">
        <v>95</v>
      </c>
      <c r="I17" s="52">
        <f t="shared" si="0"/>
        <v>0</v>
      </c>
      <c r="J17" s="41"/>
      <c r="K17" s="38"/>
      <c r="L17" s="39"/>
      <c r="M17" s="49"/>
      <c r="N17" s="50"/>
      <c r="O17" s="50"/>
    </row>
    <row r="18" spans="2:15" s="40" customFormat="1" ht="15" hidden="1">
      <c r="B18" s="51"/>
      <c r="C18" s="30" t="s">
        <v>32</v>
      </c>
      <c r="D18" s="137" t="s">
        <v>33</v>
      </c>
      <c r="E18" s="138"/>
      <c r="F18" s="138"/>
      <c r="G18" s="139"/>
      <c r="H18" s="52">
        <v>0.98</v>
      </c>
      <c r="I18" s="53">
        <f t="shared" si="0"/>
        <v>0</v>
      </c>
      <c r="J18" s="41"/>
      <c r="K18" s="38"/>
      <c r="L18" s="39"/>
      <c r="M18" s="49"/>
      <c r="N18" s="50"/>
      <c r="O18" s="50"/>
    </row>
    <row r="19" spans="2:15" s="19" customFormat="1" ht="15" hidden="1">
      <c r="B19" s="51"/>
      <c r="C19" s="30" t="s">
        <v>32</v>
      </c>
      <c r="D19" s="137" t="s">
        <v>34</v>
      </c>
      <c r="E19" s="138"/>
      <c r="F19" s="138"/>
      <c r="G19" s="139"/>
      <c r="H19" s="52">
        <v>0.56000000000000005</v>
      </c>
      <c r="I19" s="53">
        <f t="shared" si="0"/>
        <v>0</v>
      </c>
      <c r="J19" s="54"/>
      <c r="K19" s="7"/>
      <c r="L19" s="18"/>
      <c r="M19" s="55"/>
      <c r="N19" s="56"/>
      <c r="O19" s="56"/>
    </row>
    <row r="20" spans="2:15" s="19" customFormat="1" ht="15">
      <c r="B20" s="51">
        <v>1200</v>
      </c>
      <c r="C20" s="30" t="s">
        <v>32</v>
      </c>
      <c r="D20" s="137" t="s">
        <v>35</v>
      </c>
      <c r="E20" s="138"/>
      <c r="F20" s="138"/>
      <c r="G20" s="139"/>
      <c r="H20" s="52">
        <v>1.92</v>
      </c>
      <c r="I20" s="53">
        <f t="shared" si="0"/>
        <v>2304</v>
      </c>
      <c r="J20" s="54"/>
      <c r="K20" s="7"/>
      <c r="L20" s="18"/>
      <c r="M20" s="55"/>
      <c r="N20" s="56"/>
      <c r="O20" s="56"/>
    </row>
    <row r="21" spans="2:15" s="19" customFormat="1" ht="15">
      <c r="B21" s="51">
        <v>800</v>
      </c>
      <c r="C21" s="30" t="s">
        <v>32</v>
      </c>
      <c r="D21" s="136" t="s">
        <v>81</v>
      </c>
      <c r="E21" s="136"/>
      <c r="F21" s="136"/>
      <c r="G21" s="136"/>
      <c r="H21" s="52">
        <v>4.72</v>
      </c>
      <c r="I21" s="53">
        <f>H21*B21</f>
        <v>3776</v>
      </c>
      <c r="J21" s="57">
        <f>H21*J40</f>
        <v>12.816070374277933</v>
      </c>
      <c r="K21" s="7">
        <f>H21*B21</f>
        <v>3776</v>
      </c>
      <c r="L21" s="18"/>
      <c r="M21" s="55"/>
      <c r="N21" s="56"/>
      <c r="O21" s="56"/>
    </row>
    <row r="22" spans="2:15" s="19" customFormat="1" ht="15" hidden="1">
      <c r="B22" s="51"/>
      <c r="C22" s="30" t="s">
        <v>32</v>
      </c>
      <c r="D22" s="136" t="s">
        <v>37</v>
      </c>
      <c r="E22" s="136"/>
      <c r="F22" s="136"/>
      <c r="G22" s="136"/>
      <c r="H22" s="52">
        <v>62.5</v>
      </c>
      <c r="I22" s="53">
        <f t="shared" ref="I22:I29" si="1">H22*B22</f>
        <v>0</v>
      </c>
      <c r="J22" s="54"/>
      <c r="K22" s="31"/>
      <c r="L22" s="32"/>
      <c r="M22" s="33"/>
      <c r="N22" s="34"/>
      <c r="O22" s="34"/>
    </row>
    <row r="23" spans="2:15" s="19" customFormat="1" ht="15" hidden="1">
      <c r="B23" s="51"/>
      <c r="C23" s="30" t="s">
        <v>32</v>
      </c>
      <c r="D23" s="137" t="s">
        <v>38</v>
      </c>
      <c r="E23" s="138"/>
      <c r="F23" s="138"/>
      <c r="G23" s="139"/>
      <c r="H23" s="52">
        <v>49</v>
      </c>
      <c r="I23" s="53">
        <f t="shared" si="1"/>
        <v>0</v>
      </c>
      <c r="J23" s="54"/>
      <c r="K23" s="31">
        <v>667.83</v>
      </c>
      <c r="L23" s="32">
        <f>K23*1.45</f>
        <v>968.35350000000005</v>
      </c>
      <c r="M23" s="33">
        <f>L23/20</f>
        <v>48.417675000000003</v>
      </c>
      <c r="N23" s="34"/>
      <c r="O23" s="34"/>
    </row>
    <row r="24" spans="2:15" s="19" customFormat="1" ht="15" hidden="1">
      <c r="B24" s="51"/>
      <c r="C24" s="30" t="s">
        <v>32</v>
      </c>
      <c r="D24" s="137" t="s">
        <v>39</v>
      </c>
      <c r="E24" s="138"/>
      <c r="F24" s="138"/>
      <c r="G24" s="139"/>
      <c r="H24" s="52">
        <v>56</v>
      </c>
      <c r="I24" s="53">
        <f t="shared" si="1"/>
        <v>0</v>
      </c>
      <c r="J24" s="54"/>
      <c r="K24" s="31">
        <v>763.23</v>
      </c>
      <c r="L24" s="32">
        <f t="shared" ref="L24:L29" si="2">K24*1.45</f>
        <v>1106.6835000000001</v>
      </c>
      <c r="M24" s="33">
        <f t="shared" ref="M24:M29" si="3">L24/20</f>
        <v>55.334175000000002</v>
      </c>
      <c r="N24" s="34"/>
      <c r="O24" s="34"/>
    </row>
    <row r="25" spans="2:15" s="19" customFormat="1" ht="15" hidden="1">
      <c r="B25" s="51"/>
      <c r="C25" s="30" t="s">
        <v>32</v>
      </c>
      <c r="D25" s="137" t="s">
        <v>40</v>
      </c>
      <c r="E25" s="138"/>
      <c r="F25" s="138"/>
      <c r="G25" s="139"/>
      <c r="H25" s="52">
        <v>28</v>
      </c>
      <c r="I25" s="53">
        <f t="shared" si="1"/>
        <v>0</v>
      </c>
      <c r="J25" s="54"/>
      <c r="K25" s="31">
        <v>381.62</v>
      </c>
      <c r="L25" s="32">
        <f t="shared" si="2"/>
        <v>553.34900000000005</v>
      </c>
      <c r="M25" s="33">
        <f t="shared" si="3"/>
        <v>27.667450000000002</v>
      </c>
      <c r="N25" s="34"/>
      <c r="O25" s="34"/>
    </row>
    <row r="26" spans="2:15" s="19" customFormat="1" ht="15" hidden="1">
      <c r="B26" s="51"/>
      <c r="C26" s="30" t="s">
        <v>32</v>
      </c>
      <c r="D26" s="137" t="s">
        <v>41</v>
      </c>
      <c r="E26" s="138"/>
      <c r="F26" s="138"/>
      <c r="G26" s="139"/>
      <c r="H26" s="52">
        <f>M26</f>
        <v>279.19437499999998</v>
      </c>
      <c r="I26" s="53">
        <f t="shared" si="1"/>
        <v>0</v>
      </c>
      <c r="J26" s="54"/>
      <c r="K26" s="31">
        <v>4467.1099999999997</v>
      </c>
      <c r="L26" s="32">
        <f>K26*1.25</f>
        <v>5583.8874999999998</v>
      </c>
      <c r="M26" s="33">
        <f t="shared" si="3"/>
        <v>279.19437499999998</v>
      </c>
      <c r="N26" s="34"/>
      <c r="O26" s="34"/>
    </row>
    <row r="27" spans="2:15" s="19" customFormat="1" ht="15" hidden="1">
      <c r="B27" s="51"/>
      <c r="C27" s="30" t="s">
        <v>32</v>
      </c>
      <c r="D27" s="137" t="s">
        <v>42</v>
      </c>
      <c r="E27" s="138"/>
      <c r="F27" s="138"/>
      <c r="G27" s="139"/>
      <c r="H27" s="52">
        <f t="shared" ref="H27:H29" si="4">M27</f>
        <v>200.29124999999999</v>
      </c>
      <c r="I27" s="53">
        <f t="shared" si="1"/>
        <v>0</v>
      </c>
      <c r="J27" s="54"/>
      <c r="K27" s="31">
        <v>3204.66</v>
      </c>
      <c r="L27" s="32">
        <f t="shared" ref="L27:L28" si="5">K27*1.25</f>
        <v>4005.8249999999998</v>
      </c>
      <c r="M27" s="33">
        <f t="shared" si="3"/>
        <v>200.29124999999999</v>
      </c>
      <c r="N27" s="34"/>
      <c r="O27" s="34"/>
    </row>
    <row r="28" spans="2:15" s="19" customFormat="1" ht="15" hidden="1">
      <c r="B28" s="51"/>
      <c r="C28" s="30" t="s">
        <v>32</v>
      </c>
      <c r="D28" s="137" t="s">
        <v>43</v>
      </c>
      <c r="E28" s="138"/>
      <c r="F28" s="138"/>
      <c r="G28" s="139"/>
      <c r="H28" s="52">
        <f t="shared" si="4"/>
        <v>97.110624999999999</v>
      </c>
      <c r="I28" s="53">
        <f t="shared" si="1"/>
        <v>0</v>
      </c>
      <c r="J28" s="54"/>
      <c r="K28" s="31">
        <v>1553.77</v>
      </c>
      <c r="L28" s="32">
        <f t="shared" si="5"/>
        <v>1942.2125000000001</v>
      </c>
      <c r="M28" s="33">
        <f t="shared" si="3"/>
        <v>97.110624999999999</v>
      </c>
      <c r="N28" s="34"/>
      <c r="O28" s="34"/>
    </row>
    <row r="29" spans="2:15" s="19" customFormat="1" ht="15" hidden="1">
      <c r="B29" s="51"/>
      <c r="C29" s="30" t="s">
        <v>32</v>
      </c>
      <c r="D29" s="144" t="s">
        <v>44</v>
      </c>
      <c r="E29" s="145"/>
      <c r="F29" s="145"/>
      <c r="G29" s="146"/>
      <c r="H29" s="52">
        <f t="shared" si="4"/>
        <v>131.80500000000001</v>
      </c>
      <c r="I29" s="53">
        <f t="shared" si="1"/>
        <v>0</v>
      </c>
      <c r="J29" s="54"/>
      <c r="K29" s="31">
        <v>1818</v>
      </c>
      <c r="L29" s="32">
        <f t="shared" si="2"/>
        <v>2636.1</v>
      </c>
      <c r="M29" s="33">
        <f t="shared" si="3"/>
        <v>131.80500000000001</v>
      </c>
      <c r="N29" s="34"/>
      <c r="O29" s="34"/>
    </row>
    <row r="30" spans="2:15" s="19" customFormat="1" ht="15" hidden="1">
      <c r="B30" s="4"/>
      <c r="C30" s="30" t="s">
        <v>32</v>
      </c>
      <c r="D30" s="136" t="s">
        <v>45</v>
      </c>
      <c r="E30" s="136"/>
      <c r="F30" s="136"/>
      <c r="G30" s="136"/>
      <c r="H30" s="52">
        <v>0</v>
      </c>
      <c r="I30" s="53">
        <f>H30*B30</f>
        <v>0</v>
      </c>
      <c r="J30" s="54"/>
      <c r="K30" s="7"/>
      <c r="L30" s="18"/>
      <c r="M30" s="55"/>
      <c r="N30" s="56"/>
      <c r="O30" s="56"/>
    </row>
    <row r="31" spans="2:15" s="19" customFormat="1" ht="15" hidden="1">
      <c r="B31" s="4"/>
      <c r="C31" s="30" t="s">
        <v>32</v>
      </c>
      <c r="D31" s="136" t="s">
        <v>46</v>
      </c>
      <c r="E31" s="136"/>
      <c r="F31" s="136"/>
      <c r="G31" s="136"/>
      <c r="H31" s="52">
        <v>0</v>
      </c>
      <c r="I31" s="53">
        <f>H31*B31</f>
        <v>0</v>
      </c>
      <c r="J31" s="54"/>
      <c r="K31" s="7"/>
      <c r="L31" s="18"/>
      <c r="M31" s="55"/>
      <c r="N31" s="56"/>
      <c r="O31" s="56"/>
    </row>
    <row r="32" spans="2:15" s="19" customFormat="1" ht="15" hidden="1">
      <c r="B32" s="4"/>
      <c r="C32" s="30" t="s">
        <v>23</v>
      </c>
      <c r="D32" s="137" t="s">
        <v>47</v>
      </c>
      <c r="E32" s="138"/>
      <c r="F32" s="138"/>
      <c r="G32" s="139"/>
      <c r="H32" s="52">
        <v>80</v>
      </c>
      <c r="I32" s="53">
        <f>H32*B32</f>
        <v>0</v>
      </c>
      <c r="J32" s="54"/>
      <c r="K32" s="7"/>
      <c r="L32" s="18"/>
      <c r="M32" s="55"/>
      <c r="N32" s="56"/>
      <c r="O32" s="56"/>
    </row>
    <row r="33" spans="2:15" s="10" customFormat="1" ht="15.75">
      <c r="B33" s="64"/>
      <c r="C33" s="65" t="s">
        <v>48</v>
      </c>
      <c r="D33" s="140" t="s">
        <v>49</v>
      </c>
      <c r="E33" s="140"/>
      <c r="F33" s="140"/>
      <c r="G33" s="140"/>
      <c r="H33" s="66" t="s">
        <v>50</v>
      </c>
      <c r="I33" s="67">
        <f>SUM(I11:I32)</f>
        <v>6080</v>
      </c>
      <c r="J33" s="8"/>
      <c r="K33" s="9"/>
      <c r="L33" s="20"/>
      <c r="M33" s="10">
        <f>O33*N33</f>
        <v>264</v>
      </c>
      <c r="N33" s="10">
        <v>6</v>
      </c>
      <c r="O33" s="10">
        <v>44</v>
      </c>
    </row>
    <row r="34" spans="2:15" customFormat="1" ht="6.6" customHeight="1">
      <c r="B34" s="141"/>
      <c r="C34" s="142"/>
      <c r="D34" s="142"/>
      <c r="E34" s="142"/>
      <c r="F34" s="142"/>
      <c r="G34" s="142"/>
      <c r="H34" s="142"/>
      <c r="I34" s="143"/>
      <c r="J34" s="11"/>
      <c r="N34">
        <v>4</v>
      </c>
    </row>
    <row r="35" spans="2:15" customFormat="1" ht="8.1" customHeight="1">
      <c r="B35" s="141"/>
      <c r="C35" s="142"/>
      <c r="D35" s="142"/>
      <c r="E35" s="142"/>
      <c r="F35" s="142"/>
      <c r="G35" s="142"/>
      <c r="H35" s="142"/>
      <c r="I35" s="143"/>
      <c r="J35" s="11"/>
    </row>
    <row r="36" spans="2:15" customFormat="1" ht="17.45" customHeight="1">
      <c r="B36" s="21" t="s">
        <v>48</v>
      </c>
      <c r="C36" s="22"/>
      <c r="D36" s="115"/>
      <c r="E36" s="116"/>
      <c r="F36" s="116"/>
      <c r="G36" s="117"/>
      <c r="H36" s="59" t="s">
        <v>51</v>
      </c>
      <c r="I36" s="58">
        <f>I33</f>
        <v>6080</v>
      </c>
      <c r="K36" s="15"/>
      <c r="L36" s="16"/>
    </row>
    <row r="37" spans="2:15" s="1" customFormat="1" ht="16.5" customHeight="1">
      <c r="B37" s="118" t="s">
        <v>52</v>
      </c>
      <c r="C37" s="119"/>
      <c r="D37" s="119"/>
      <c r="E37" s="119"/>
      <c r="F37" s="119"/>
      <c r="G37" s="120"/>
      <c r="H37" s="36" t="s">
        <v>53</v>
      </c>
      <c r="I37" s="23">
        <f>I36</f>
        <v>6080</v>
      </c>
      <c r="K37" s="24"/>
      <c r="N37" s="1">
        <v>1876</v>
      </c>
      <c r="O37" s="1">
        <v>1763.4399999999998</v>
      </c>
    </row>
    <row r="38" spans="2:15" s="1" customFormat="1" ht="17.100000000000001" customHeight="1">
      <c r="B38" s="121" t="s">
        <v>54</v>
      </c>
      <c r="C38" s="122"/>
      <c r="D38" s="127" t="s">
        <v>82</v>
      </c>
      <c r="E38" s="128"/>
      <c r="F38" s="128"/>
      <c r="G38" s="129"/>
      <c r="H38" s="60" t="s">
        <v>56</v>
      </c>
      <c r="I38" s="25">
        <f>I37*0.039</f>
        <v>237.12</v>
      </c>
      <c r="J38" s="3">
        <f>I38*18</f>
        <v>4268.16</v>
      </c>
      <c r="K38" s="24">
        <v>17.5</v>
      </c>
      <c r="L38" s="1">
        <f>J38/K38</f>
        <v>243.89485714285715</v>
      </c>
      <c r="N38" s="1">
        <v>2032</v>
      </c>
      <c r="O38" s="1">
        <v>1097.28</v>
      </c>
    </row>
    <row r="39" spans="2:15" s="1" customFormat="1" ht="18.600000000000001" customHeight="1">
      <c r="B39" s="123"/>
      <c r="C39" s="124"/>
      <c r="D39" s="130"/>
      <c r="E39" s="131"/>
      <c r="F39" s="131"/>
      <c r="G39" s="132"/>
      <c r="H39" s="36" t="s">
        <v>57</v>
      </c>
      <c r="I39" s="23">
        <f>I37+I38</f>
        <v>6317.12</v>
      </c>
      <c r="N39" s="1">
        <v>0</v>
      </c>
      <c r="O39" s="1">
        <v>0</v>
      </c>
    </row>
    <row r="40" spans="2:15" s="1" customFormat="1" ht="16.5" customHeight="1">
      <c r="B40" s="123"/>
      <c r="C40" s="124"/>
      <c r="D40" s="130"/>
      <c r="E40" s="131"/>
      <c r="F40" s="131"/>
      <c r="G40" s="132"/>
      <c r="H40" s="60" t="s">
        <v>58</v>
      </c>
      <c r="I40" s="25">
        <f>I39*0.16</f>
        <v>1010.7392</v>
      </c>
      <c r="J40" s="1">
        <f>J41/I41</f>
        <v>2.7152691470927826</v>
      </c>
      <c r="N40" s="1">
        <v>0</v>
      </c>
      <c r="O40" s="1">
        <v>0</v>
      </c>
    </row>
    <row r="41" spans="2:15" s="1" customFormat="1" ht="18.600000000000001" customHeight="1">
      <c r="B41" s="125"/>
      <c r="C41" s="126"/>
      <c r="D41" s="133"/>
      <c r="E41" s="134"/>
      <c r="F41" s="134"/>
      <c r="G41" s="135"/>
      <c r="H41" s="36" t="s">
        <v>59</v>
      </c>
      <c r="I41" s="37">
        <f>I39+I40</f>
        <v>7327.8591999999999</v>
      </c>
      <c r="J41" s="26">
        <v>19897.11</v>
      </c>
      <c r="K41" s="27"/>
      <c r="L41" s="27"/>
      <c r="N41" s="1">
        <v>53</v>
      </c>
      <c r="O41" s="1">
        <v>3312.5</v>
      </c>
    </row>
    <row r="42" spans="2:15">
      <c r="B42" s="83"/>
      <c r="C42" s="84"/>
      <c r="D42" s="84"/>
      <c r="E42" s="84"/>
      <c r="F42" s="84"/>
      <c r="G42" s="84"/>
      <c r="H42" s="84"/>
      <c r="I42" s="85"/>
      <c r="N42" s="13">
        <v>65</v>
      </c>
      <c r="O42" s="13">
        <v>121.55000000000001</v>
      </c>
    </row>
    <row r="43" spans="2:15" ht="18" customHeight="1">
      <c r="B43" s="118" t="s">
        <v>60</v>
      </c>
      <c r="C43" s="119"/>
      <c r="D43" s="119"/>
      <c r="E43" s="119"/>
      <c r="F43" s="119"/>
      <c r="G43" s="119"/>
      <c r="H43" s="119"/>
      <c r="I43" s="120"/>
      <c r="N43" s="13">
        <v>512</v>
      </c>
      <c r="O43" s="13">
        <v>762.88</v>
      </c>
    </row>
    <row r="44" spans="2:15" ht="74.25" customHeight="1">
      <c r="B44" s="102" t="s">
        <v>61</v>
      </c>
      <c r="C44" s="103"/>
      <c r="D44" s="104" t="s">
        <v>83</v>
      </c>
      <c r="E44" s="105"/>
      <c r="F44" s="105"/>
      <c r="G44" s="106"/>
      <c r="H44" s="107"/>
      <c r="I44" s="108"/>
      <c r="O44" s="13">
        <v>0</v>
      </c>
    </row>
    <row r="45" spans="2:15" ht="19.5" customHeight="1">
      <c r="B45" s="111" t="s">
        <v>63</v>
      </c>
      <c r="C45" s="112"/>
      <c r="D45" s="99" t="s">
        <v>64</v>
      </c>
      <c r="E45" s="100"/>
      <c r="F45" s="100"/>
      <c r="G45" s="101"/>
      <c r="H45" s="109"/>
      <c r="I45" s="110"/>
      <c r="O45" s="13">
        <v>0</v>
      </c>
    </row>
    <row r="46" spans="2:15" ht="25.5" customHeight="1">
      <c r="B46" s="102" t="s">
        <v>65</v>
      </c>
      <c r="C46" s="103"/>
      <c r="D46" s="99" t="s">
        <v>66</v>
      </c>
      <c r="E46" s="100"/>
      <c r="F46" s="100"/>
      <c r="G46" s="101"/>
      <c r="H46" s="113" t="s">
        <v>67</v>
      </c>
      <c r="I46" s="114"/>
      <c r="O46" s="13">
        <v>0</v>
      </c>
    </row>
    <row r="47" spans="2:15" ht="18" customHeight="1">
      <c r="B47" s="73" t="s">
        <v>68</v>
      </c>
      <c r="C47" s="74"/>
      <c r="D47" s="61" t="s">
        <v>84</v>
      </c>
      <c r="E47" s="86">
        <f>I41</f>
        <v>7327.8591999999999</v>
      </c>
      <c r="F47" s="87"/>
      <c r="G47" s="88"/>
      <c r="H47" s="89"/>
      <c r="I47" s="90"/>
      <c r="K47" s="13">
        <v>2500</v>
      </c>
      <c r="L47" s="13">
        <v>17.5</v>
      </c>
      <c r="M47" s="13">
        <f>K47/L47</f>
        <v>142.85714285714286</v>
      </c>
      <c r="O47" s="13">
        <v>0</v>
      </c>
    </row>
    <row r="48" spans="2:15" ht="33.75" customHeight="1">
      <c r="B48" s="95" t="s">
        <v>70</v>
      </c>
      <c r="C48" s="96"/>
      <c r="D48" s="35" t="s">
        <v>85</v>
      </c>
      <c r="E48" s="99" t="s">
        <v>72</v>
      </c>
      <c r="F48" s="100"/>
      <c r="G48" s="101"/>
      <c r="H48" s="91"/>
      <c r="I48" s="92"/>
      <c r="K48" s="13">
        <v>25</v>
      </c>
      <c r="L48" s="13">
        <v>4.05</v>
      </c>
      <c r="O48" s="13">
        <v>0</v>
      </c>
    </row>
    <row r="49" spans="2:15" ht="44.25" hidden="1" customHeight="1">
      <c r="B49" s="97"/>
      <c r="C49" s="98"/>
      <c r="D49" s="35" t="s">
        <v>73</v>
      </c>
      <c r="E49" s="99" t="s">
        <v>74</v>
      </c>
      <c r="F49" s="100"/>
      <c r="G49" s="101"/>
      <c r="H49" s="93"/>
      <c r="I49" s="94"/>
      <c r="O49" s="13">
        <v>0</v>
      </c>
    </row>
    <row r="50" spans="2:15" ht="21.6" customHeight="1">
      <c r="B50" s="73" t="s">
        <v>75</v>
      </c>
      <c r="C50" s="74"/>
      <c r="D50" s="75" t="s">
        <v>86</v>
      </c>
      <c r="E50" s="76"/>
      <c r="F50" s="76"/>
      <c r="G50" s="77"/>
      <c r="H50" s="78" t="s">
        <v>76</v>
      </c>
      <c r="I50" s="79"/>
      <c r="K50" s="13">
        <v>35.5</v>
      </c>
      <c r="L50" s="13">
        <f>(K50*L48)/K48</f>
        <v>5.7510000000000003</v>
      </c>
      <c r="O50" s="13">
        <v>0</v>
      </c>
    </row>
    <row r="51" spans="2:15" ht="32.1" hidden="1" customHeight="1">
      <c r="B51" s="73" t="s">
        <v>77</v>
      </c>
      <c r="C51" s="74"/>
      <c r="D51" s="80"/>
      <c r="E51" s="81"/>
      <c r="F51" s="81"/>
      <c r="G51" s="81"/>
      <c r="H51" s="81"/>
      <c r="I51" s="82"/>
      <c r="O51" s="13">
        <v>0</v>
      </c>
    </row>
    <row r="52" spans="2:15" ht="81.75" customHeight="1">
      <c r="B52" s="83"/>
      <c r="C52" s="84"/>
      <c r="D52" s="84"/>
      <c r="E52" s="84"/>
      <c r="F52" s="84"/>
      <c r="G52" s="84"/>
      <c r="H52" s="84"/>
      <c r="I52" s="85"/>
      <c r="O52" s="13">
        <v>0</v>
      </c>
    </row>
    <row r="53" spans="2:15" ht="18">
      <c r="B53" s="70" t="s">
        <v>78</v>
      </c>
      <c r="C53" s="71"/>
      <c r="D53" s="71"/>
      <c r="E53" s="71"/>
      <c r="F53" s="71"/>
      <c r="G53" s="71"/>
      <c r="H53" s="71"/>
      <c r="I53" s="72"/>
      <c r="O53" s="13">
        <v>0</v>
      </c>
    </row>
    <row r="54" spans="2:15" ht="18">
      <c r="B54" s="70" t="s">
        <v>79</v>
      </c>
      <c r="C54" s="71"/>
      <c r="D54" s="71"/>
      <c r="E54" s="71"/>
      <c r="F54" s="71"/>
      <c r="G54" s="71"/>
      <c r="H54" s="71"/>
      <c r="I54" s="72"/>
      <c r="N54" s="13">
        <v>68</v>
      </c>
      <c r="O54" s="13">
        <v>202.64</v>
      </c>
    </row>
    <row r="55" spans="2:15">
      <c r="O55" s="13">
        <v>0</v>
      </c>
    </row>
    <row r="56" spans="2:15">
      <c r="O56" s="13">
        <v>0</v>
      </c>
    </row>
    <row r="57" spans="2:15">
      <c r="O57" s="13">
        <v>0</v>
      </c>
    </row>
    <row r="58" spans="2:15">
      <c r="D58" s="12"/>
      <c r="O58" s="13">
        <v>0</v>
      </c>
    </row>
    <row r="59" spans="2:15">
      <c r="D59" s="12"/>
      <c r="O59" s="13">
        <v>0</v>
      </c>
    </row>
    <row r="60" spans="2:15">
      <c r="D60" s="12"/>
      <c r="O60" s="13">
        <v>0</v>
      </c>
    </row>
    <row r="61" spans="2:15">
      <c r="D61" s="12"/>
      <c r="O61" s="13">
        <v>0</v>
      </c>
    </row>
    <row r="62" spans="2:15">
      <c r="D62" s="12"/>
      <c r="O62" s="13">
        <v>0</v>
      </c>
    </row>
    <row r="63" spans="2:15">
      <c r="C63" s="29"/>
      <c r="D63" s="14"/>
      <c r="O63" s="13">
        <v>0</v>
      </c>
    </row>
    <row r="64" spans="2:15">
      <c r="D64" s="12"/>
      <c r="O64" s="13">
        <v>0</v>
      </c>
    </row>
    <row r="65" spans="4:15">
      <c r="D65" s="12"/>
      <c r="O65" s="13">
        <v>0</v>
      </c>
    </row>
    <row r="66" spans="4:15">
      <c r="O66" s="13">
        <v>0</v>
      </c>
    </row>
    <row r="67" spans="4:15">
      <c r="O67" s="13">
        <v>0</v>
      </c>
    </row>
    <row r="68" spans="4:15">
      <c r="O68" s="13">
        <v>0</v>
      </c>
    </row>
    <row r="69" spans="4:15">
      <c r="O69" s="13">
        <v>0</v>
      </c>
    </row>
    <row r="70" spans="4:15">
      <c r="O70" s="13">
        <v>7260.29</v>
      </c>
    </row>
  </sheetData>
  <mergeCells count="70">
    <mergeCell ref="B53:I53"/>
    <mergeCell ref="B54:I54"/>
    <mergeCell ref="B50:C50"/>
    <mergeCell ref="D50:G50"/>
    <mergeCell ref="H50:I50"/>
    <mergeCell ref="B51:C51"/>
    <mergeCell ref="D51:I51"/>
    <mergeCell ref="B52:I52"/>
    <mergeCell ref="B47:C47"/>
    <mergeCell ref="E47:G47"/>
    <mergeCell ref="H47:I49"/>
    <mergeCell ref="B48:C49"/>
    <mergeCell ref="E48:G48"/>
    <mergeCell ref="E49:G49"/>
    <mergeCell ref="B46:C46"/>
    <mergeCell ref="D46:G46"/>
    <mergeCell ref="H46:I46"/>
    <mergeCell ref="D36:G36"/>
    <mergeCell ref="B37:G37"/>
    <mergeCell ref="B38:C41"/>
    <mergeCell ref="D38:G41"/>
    <mergeCell ref="B42:I42"/>
    <mergeCell ref="B43:I43"/>
    <mergeCell ref="B44:C44"/>
    <mergeCell ref="D44:G44"/>
    <mergeCell ref="H44:I45"/>
    <mergeCell ref="B45:C45"/>
    <mergeCell ref="D45:G45"/>
    <mergeCell ref="B35:I35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B34:I34"/>
    <mergeCell ref="D23:G23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11:G11"/>
    <mergeCell ref="B4:C4"/>
    <mergeCell ref="D4:I4"/>
    <mergeCell ref="B5:C5"/>
    <mergeCell ref="D5:I5"/>
    <mergeCell ref="B6:C6"/>
    <mergeCell ref="D6:I6"/>
    <mergeCell ref="B7:C7"/>
    <mergeCell ref="D7:G7"/>
    <mergeCell ref="B8:I8"/>
    <mergeCell ref="B9:I9"/>
    <mergeCell ref="D10:G10"/>
    <mergeCell ref="B1:C1"/>
    <mergeCell ref="D1:G1"/>
    <mergeCell ref="H1:I1"/>
    <mergeCell ref="D2:G2"/>
    <mergeCell ref="B3:C3"/>
    <mergeCell ref="D3:I3"/>
  </mergeCells>
  <conditionalFormatting sqref="L9:L33">
    <cfRule type="expression" dxfId="7" priority="1" stopIfTrue="1">
      <formula>#REF!="Error"</formula>
    </cfRule>
  </conditionalFormatting>
  <conditionalFormatting sqref="L36">
    <cfRule type="expression" dxfId="6" priority="2" stopIfTrue="1">
      <formula>#REF!="Error"</formula>
    </cfRule>
  </conditionalFormatting>
  <pageMargins left="0.51181102362204722" right="0.31496062992125984" top="0.35433070866141736" bottom="0.35433070866141736" header="0.31496062992125984" footer="0.31496062992125984"/>
  <pageSetup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7A0A-9BF8-634B-9CAE-E4FAE12A050A}">
  <dimension ref="A1:O70"/>
  <sheetViews>
    <sheetView topLeftCell="B1" zoomScaleNormal="100" zoomScaleSheetLayoutView="100" workbookViewId="0">
      <selection activeCell="D5" sqref="D5:I5"/>
    </sheetView>
  </sheetViews>
  <sheetFormatPr defaultColWidth="11.42578125" defaultRowHeight="12.75"/>
  <cols>
    <col min="1" max="1" width="2" style="13" hidden="1" customWidth="1"/>
    <col min="2" max="3" width="16.42578125" style="13" customWidth="1"/>
    <col min="4" max="4" width="15.7109375" style="13" customWidth="1"/>
    <col min="5" max="6" width="11.42578125" style="13"/>
    <col min="7" max="7" width="28.28515625" style="13" customWidth="1"/>
    <col min="8" max="8" width="18.140625" style="28" customWidth="1"/>
    <col min="9" max="9" width="19.42578125" style="28" customWidth="1"/>
    <col min="10" max="10" width="18.140625" style="13" customWidth="1"/>
    <col min="11" max="11" width="14.28515625" style="13" customWidth="1"/>
    <col min="12" max="12" width="11.7109375" style="13" customWidth="1"/>
    <col min="13" max="13" width="11.42578125" style="13"/>
    <col min="14" max="14" width="11.7109375" style="13" customWidth="1"/>
    <col min="15" max="16384" width="11.42578125" style="13"/>
  </cols>
  <sheetData>
    <row r="1" spans="2:15" ht="90.75" customHeight="1">
      <c r="B1" s="160"/>
      <c r="C1" s="160"/>
      <c r="D1" s="161" t="s">
        <v>0</v>
      </c>
      <c r="E1" s="161"/>
      <c r="F1" s="161"/>
      <c r="G1" s="161"/>
      <c r="H1" s="162" t="s">
        <v>1</v>
      </c>
      <c r="I1" s="162"/>
    </row>
    <row r="2" spans="2:15" ht="19.5" customHeight="1">
      <c r="B2" s="43" t="s">
        <v>2</v>
      </c>
      <c r="C2" s="44">
        <f ca="1">TODAY()</f>
        <v>46320</v>
      </c>
      <c r="D2" s="163"/>
      <c r="E2" s="163"/>
      <c r="F2" s="163"/>
      <c r="G2" s="163"/>
      <c r="H2" s="2" t="s">
        <v>3</v>
      </c>
      <c r="I2" s="2" t="s">
        <v>87</v>
      </c>
      <c r="K2" s="5"/>
    </row>
    <row r="3" spans="2:15" ht="15.95" customHeight="1">
      <c r="B3" s="151" t="s">
        <v>5</v>
      </c>
      <c r="C3" s="151"/>
      <c r="D3" s="152" t="s">
        <v>6</v>
      </c>
      <c r="E3" s="152"/>
      <c r="F3" s="152"/>
      <c r="G3" s="152"/>
      <c r="H3" s="152"/>
      <c r="I3" s="152"/>
      <c r="K3" s="5"/>
    </row>
    <row r="4" spans="2:15" ht="17.100000000000001" customHeight="1">
      <c r="B4" s="151" t="s">
        <v>7</v>
      </c>
      <c r="C4" s="151"/>
      <c r="D4" s="152" t="s">
        <v>88</v>
      </c>
      <c r="E4" s="152"/>
      <c r="F4" s="152"/>
      <c r="G4" s="152"/>
      <c r="H4" s="152"/>
      <c r="I4" s="152"/>
      <c r="K4" s="5"/>
    </row>
    <row r="5" spans="2:15" ht="15.6" customHeight="1">
      <c r="B5" s="78" t="s">
        <v>9</v>
      </c>
      <c r="C5" s="79"/>
      <c r="D5" s="156" t="s">
        <v>10</v>
      </c>
      <c r="E5" s="157"/>
      <c r="F5" s="157"/>
      <c r="G5" s="157"/>
      <c r="H5" s="157"/>
      <c r="I5" s="158"/>
      <c r="K5" s="5"/>
    </row>
    <row r="6" spans="2:15" ht="14.45" customHeight="1">
      <c r="B6" s="151" t="s">
        <v>11</v>
      </c>
      <c r="C6" s="151"/>
      <c r="D6" s="152" t="s">
        <v>12</v>
      </c>
      <c r="E6" s="152"/>
      <c r="F6" s="152"/>
      <c r="G6" s="152"/>
      <c r="H6" s="152"/>
      <c r="I6" s="159"/>
    </row>
    <row r="7" spans="2:15" ht="17.100000000000001" customHeight="1" thickBot="1">
      <c r="B7" s="151" t="s">
        <v>13</v>
      </c>
      <c r="C7" s="151"/>
      <c r="D7" s="152" t="s">
        <v>14</v>
      </c>
      <c r="E7" s="152"/>
      <c r="F7" s="152"/>
      <c r="G7" s="152"/>
      <c r="H7" s="68" t="s">
        <v>15</v>
      </c>
      <c r="I7" s="69" t="s">
        <v>16</v>
      </c>
      <c r="L7" s="42" t="e">
        <f>#REF!*#REF!</f>
        <v>#REF!</v>
      </c>
    </row>
    <row r="8" spans="2:15" ht="9.9499999999999993" customHeight="1">
      <c r="B8" s="153"/>
      <c r="C8" s="153"/>
      <c r="D8" s="153"/>
      <c r="E8" s="153"/>
      <c r="F8" s="153"/>
      <c r="G8" s="153"/>
      <c r="H8" s="153"/>
      <c r="I8" s="153"/>
    </row>
    <row r="9" spans="2:15" customFormat="1" ht="15.75" customHeight="1">
      <c r="B9" s="154" t="s">
        <v>17</v>
      </c>
      <c r="C9" s="154"/>
      <c r="D9" s="154"/>
      <c r="E9" s="154"/>
      <c r="F9" s="154"/>
      <c r="G9" s="154"/>
      <c r="H9" s="154"/>
      <c r="I9" s="154"/>
      <c r="K9" s="15"/>
      <c r="L9" s="16"/>
    </row>
    <row r="10" spans="2:15" s="6" customFormat="1" ht="15">
      <c r="B10" s="45" t="s">
        <v>18</v>
      </c>
      <c r="C10" s="46" t="s">
        <v>19</v>
      </c>
      <c r="D10" s="155" t="s">
        <v>20</v>
      </c>
      <c r="E10" s="155"/>
      <c r="F10" s="155"/>
      <c r="G10" s="155"/>
      <c r="H10" s="47" t="s">
        <v>21</v>
      </c>
      <c r="I10" s="47" t="s">
        <v>22</v>
      </c>
      <c r="J10" s="48"/>
      <c r="K10" s="15"/>
      <c r="L10" s="17"/>
      <c r="M10" s="48"/>
      <c r="N10" s="48"/>
      <c r="O10" s="48"/>
    </row>
    <row r="11" spans="2:15" s="40" customFormat="1" ht="15" hidden="1">
      <c r="B11" s="62">
        <v>0</v>
      </c>
      <c r="C11" s="63" t="s">
        <v>23</v>
      </c>
      <c r="D11" s="147" t="s">
        <v>24</v>
      </c>
      <c r="E11" s="147"/>
      <c r="F11" s="147"/>
      <c r="G11" s="147"/>
      <c r="H11" s="52">
        <f>(6.5*380)</f>
        <v>2470</v>
      </c>
      <c r="I11" s="52">
        <f t="shared" ref="I11:I20" si="0">H11*B11</f>
        <v>0</v>
      </c>
      <c r="J11" s="41"/>
      <c r="K11" s="38"/>
      <c r="L11" s="39"/>
      <c r="M11" s="49">
        <v>1050</v>
      </c>
      <c r="N11" s="50">
        <v>20</v>
      </c>
      <c r="O11" s="49">
        <f>M11/N11</f>
        <v>52.5</v>
      </c>
    </row>
    <row r="12" spans="2:15" s="40" customFormat="1" ht="15" hidden="1">
      <c r="B12" s="62">
        <v>0</v>
      </c>
      <c r="C12" s="63" t="s">
        <v>23</v>
      </c>
      <c r="D12" s="147" t="s">
        <v>25</v>
      </c>
      <c r="E12" s="147"/>
      <c r="F12" s="147"/>
      <c r="G12" s="147"/>
      <c r="H12" s="52">
        <v>4500</v>
      </c>
      <c r="I12" s="52">
        <f t="shared" si="0"/>
        <v>0</v>
      </c>
      <c r="J12" s="41"/>
      <c r="K12" s="38"/>
      <c r="L12" s="39"/>
      <c r="M12" s="49"/>
      <c r="N12" s="50"/>
      <c r="O12" s="50"/>
    </row>
    <row r="13" spans="2:15" s="40" customFormat="1" ht="15" hidden="1">
      <c r="B13" s="62">
        <v>0</v>
      </c>
      <c r="C13" s="63" t="s">
        <v>23</v>
      </c>
      <c r="D13" s="147" t="s">
        <v>26</v>
      </c>
      <c r="E13" s="147"/>
      <c r="F13" s="147"/>
      <c r="G13" s="147"/>
      <c r="H13" s="52">
        <f>91*45</f>
        <v>4095</v>
      </c>
      <c r="I13" s="52">
        <f t="shared" si="0"/>
        <v>0</v>
      </c>
      <c r="J13" s="41"/>
      <c r="K13" s="38"/>
      <c r="L13" s="39"/>
      <c r="M13" s="49"/>
      <c r="N13" s="50"/>
      <c r="O13" s="50"/>
    </row>
    <row r="14" spans="2:15" s="40" customFormat="1" ht="15" hidden="1">
      <c r="B14" s="62">
        <v>0</v>
      </c>
      <c r="C14" s="63" t="s">
        <v>23</v>
      </c>
      <c r="D14" s="147" t="s">
        <v>27</v>
      </c>
      <c r="E14" s="147"/>
      <c r="F14" s="147"/>
      <c r="G14" s="147"/>
      <c r="H14" s="52">
        <f>(36.8*280)</f>
        <v>10304</v>
      </c>
      <c r="I14" s="52">
        <f t="shared" si="0"/>
        <v>0</v>
      </c>
      <c r="J14" s="41"/>
      <c r="K14" s="38"/>
      <c r="L14" s="39"/>
      <c r="M14" s="49">
        <v>63</v>
      </c>
      <c r="N14" s="50"/>
      <c r="O14" s="50"/>
    </row>
    <row r="15" spans="2:15" s="40" customFormat="1" ht="15" hidden="1">
      <c r="B15" s="62">
        <v>0</v>
      </c>
      <c r="C15" s="63" t="s">
        <v>23</v>
      </c>
      <c r="D15" s="136" t="s">
        <v>28</v>
      </c>
      <c r="E15" s="136"/>
      <c r="F15" s="136"/>
      <c r="G15" s="136"/>
      <c r="H15" s="52">
        <v>250</v>
      </c>
      <c r="I15" s="52">
        <f t="shared" si="0"/>
        <v>0</v>
      </c>
      <c r="J15" s="41"/>
      <c r="K15" s="38"/>
      <c r="L15" s="39"/>
      <c r="M15" s="49"/>
      <c r="N15" s="50"/>
      <c r="O15" s="50"/>
    </row>
    <row r="16" spans="2:15" s="40" customFormat="1" ht="15" hidden="1">
      <c r="B16" s="62">
        <v>0</v>
      </c>
      <c r="C16" s="63" t="s">
        <v>23</v>
      </c>
      <c r="D16" s="136" t="s">
        <v>29</v>
      </c>
      <c r="E16" s="136"/>
      <c r="F16" s="136"/>
      <c r="G16" s="136"/>
      <c r="H16" s="52">
        <f>(3*280)</f>
        <v>840</v>
      </c>
      <c r="I16" s="52">
        <f t="shared" si="0"/>
        <v>0</v>
      </c>
      <c r="J16" s="41"/>
      <c r="K16" s="38"/>
      <c r="L16" s="39"/>
      <c r="M16" s="49"/>
      <c r="N16" s="50"/>
      <c r="O16" s="50"/>
    </row>
    <row r="17" spans="2:15" s="40" customFormat="1" ht="15" hidden="1">
      <c r="B17" s="51">
        <v>0</v>
      </c>
      <c r="C17" s="30" t="s">
        <v>30</v>
      </c>
      <c r="D17" s="148" t="s">
        <v>31</v>
      </c>
      <c r="E17" s="149"/>
      <c r="F17" s="149"/>
      <c r="G17" s="150"/>
      <c r="H17" s="52">
        <v>95</v>
      </c>
      <c r="I17" s="52">
        <f t="shared" si="0"/>
        <v>0</v>
      </c>
      <c r="J17" s="41"/>
      <c r="K17" s="38"/>
      <c r="L17" s="39"/>
      <c r="M17" s="49"/>
      <c r="N17" s="50"/>
      <c r="O17" s="50"/>
    </row>
    <row r="18" spans="2:15" s="40" customFormat="1" ht="15">
      <c r="B18" s="51">
        <v>2300</v>
      </c>
      <c r="C18" s="30" t="s">
        <v>32</v>
      </c>
      <c r="D18" s="137" t="s">
        <v>33</v>
      </c>
      <c r="E18" s="138"/>
      <c r="F18" s="138"/>
      <c r="G18" s="139"/>
      <c r="H18" s="52">
        <v>0.98</v>
      </c>
      <c r="I18" s="53">
        <f t="shared" si="0"/>
        <v>2254</v>
      </c>
      <c r="J18" s="41"/>
      <c r="K18" s="38"/>
      <c r="L18" s="39"/>
      <c r="M18" s="49"/>
      <c r="N18" s="50"/>
      <c r="O18" s="50"/>
    </row>
    <row r="19" spans="2:15" s="19" customFormat="1" ht="15">
      <c r="B19" s="51">
        <v>2300</v>
      </c>
      <c r="C19" s="30" t="s">
        <v>32</v>
      </c>
      <c r="D19" s="137" t="s">
        <v>34</v>
      </c>
      <c r="E19" s="138"/>
      <c r="F19" s="138"/>
      <c r="G19" s="139"/>
      <c r="H19" s="52">
        <v>0.56000000000000005</v>
      </c>
      <c r="I19" s="53">
        <f t="shared" si="0"/>
        <v>1288.0000000000002</v>
      </c>
      <c r="J19" s="54"/>
      <c r="K19" s="7"/>
      <c r="L19" s="18"/>
      <c r="M19" s="55"/>
      <c r="N19" s="56"/>
      <c r="O19" s="56"/>
    </row>
    <row r="20" spans="2:15" s="19" customFormat="1" ht="15" hidden="1">
      <c r="B20" s="51"/>
      <c r="C20" s="30" t="s">
        <v>32</v>
      </c>
      <c r="D20" s="137" t="s">
        <v>35</v>
      </c>
      <c r="E20" s="138"/>
      <c r="F20" s="138"/>
      <c r="G20" s="139"/>
      <c r="H20" s="52">
        <v>1.92</v>
      </c>
      <c r="I20" s="53">
        <f t="shared" si="0"/>
        <v>0</v>
      </c>
      <c r="J20" s="54"/>
      <c r="K20" s="7"/>
      <c r="L20" s="18"/>
      <c r="M20" s="55"/>
      <c r="N20" s="56"/>
      <c r="O20" s="56"/>
    </row>
    <row r="21" spans="2:15" s="19" customFormat="1" ht="15" hidden="1">
      <c r="B21" s="51"/>
      <c r="C21" s="30" t="s">
        <v>32</v>
      </c>
      <c r="D21" s="136" t="s">
        <v>36</v>
      </c>
      <c r="E21" s="136"/>
      <c r="F21" s="136"/>
      <c r="G21" s="136"/>
      <c r="H21" s="52">
        <v>4.72</v>
      </c>
      <c r="I21" s="53">
        <f>H21*B21</f>
        <v>0</v>
      </c>
      <c r="J21" s="57">
        <f>H21*J40</f>
        <v>20.874271812679321</v>
      </c>
      <c r="K21" s="7">
        <f>H21*B21</f>
        <v>0</v>
      </c>
      <c r="L21" s="18"/>
      <c r="M21" s="55"/>
      <c r="N21" s="56"/>
      <c r="O21" s="56"/>
    </row>
    <row r="22" spans="2:15" s="19" customFormat="1" ht="15" hidden="1">
      <c r="B22" s="51"/>
      <c r="C22" s="30" t="s">
        <v>32</v>
      </c>
      <c r="D22" s="136" t="s">
        <v>37</v>
      </c>
      <c r="E22" s="136"/>
      <c r="F22" s="136"/>
      <c r="G22" s="136"/>
      <c r="H22" s="52">
        <v>62.5</v>
      </c>
      <c r="I22" s="53">
        <f t="shared" ref="I22:I29" si="1">H22*B22</f>
        <v>0</v>
      </c>
      <c r="J22" s="54"/>
      <c r="K22" s="31"/>
      <c r="L22" s="32"/>
      <c r="M22" s="33"/>
      <c r="N22" s="34"/>
      <c r="O22" s="34"/>
    </row>
    <row r="23" spans="2:15" s="19" customFormat="1" ht="15" hidden="1">
      <c r="B23" s="51"/>
      <c r="C23" s="30" t="s">
        <v>32</v>
      </c>
      <c r="D23" s="137" t="s">
        <v>38</v>
      </c>
      <c r="E23" s="138"/>
      <c r="F23" s="138"/>
      <c r="G23" s="139"/>
      <c r="H23" s="52">
        <v>49</v>
      </c>
      <c r="I23" s="53">
        <f t="shared" si="1"/>
        <v>0</v>
      </c>
      <c r="J23" s="54"/>
      <c r="K23" s="31">
        <v>667.83</v>
      </c>
      <c r="L23" s="32">
        <f>K23*1.45</f>
        <v>968.35350000000005</v>
      </c>
      <c r="M23" s="33">
        <f>L23/20</f>
        <v>48.417675000000003</v>
      </c>
      <c r="N23" s="34"/>
      <c r="O23" s="34"/>
    </row>
    <row r="24" spans="2:15" s="19" customFormat="1" ht="15" hidden="1">
      <c r="B24" s="51"/>
      <c r="C24" s="30" t="s">
        <v>32</v>
      </c>
      <c r="D24" s="137" t="s">
        <v>39</v>
      </c>
      <c r="E24" s="138"/>
      <c r="F24" s="138"/>
      <c r="G24" s="139"/>
      <c r="H24" s="52">
        <v>56</v>
      </c>
      <c r="I24" s="53">
        <f t="shared" si="1"/>
        <v>0</v>
      </c>
      <c r="J24" s="54"/>
      <c r="K24" s="31">
        <v>763.23</v>
      </c>
      <c r="L24" s="32">
        <f t="shared" ref="L24:L29" si="2">K24*1.45</f>
        <v>1106.6835000000001</v>
      </c>
      <c r="M24" s="33">
        <f t="shared" ref="M24:M29" si="3">L24/20</f>
        <v>55.334175000000002</v>
      </c>
      <c r="N24" s="34"/>
      <c r="O24" s="34"/>
    </row>
    <row r="25" spans="2:15" s="19" customFormat="1" ht="15" hidden="1">
      <c r="B25" s="51"/>
      <c r="C25" s="30" t="s">
        <v>32</v>
      </c>
      <c r="D25" s="137" t="s">
        <v>40</v>
      </c>
      <c r="E25" s="138"/>
      <c r="F25" s="138"/>
      <c r="G25" s="139"/>
      <c r="H25" s="52">
        <v>28</v>
      </c>
      <c r="I25" s="53">
        <f t="shared" si="1"/>
        <v>0</v>
      </c>
      <c r="J25" s="54"/>
      <c r="K25" s="31">
        <v>381.62</v>
      </c>
      <c r="L25" s="32">
        <f t="shared" si="2"/>
        <v>553.34900000000005</v>
      </c>
      <c r="M25" s="33">
        <f t="shared" si="3"/>
        <v>27.667450000000002</v>
      </c>
      <c r="N25" s="34"/>
      <c r="O25" s="34"/>
    </row>
    <row r="26" spans="2:15" s="19" customFormat="1" ht="15" hidden="1">
      <c r="B26" s="51"/>
      <c r="C26" s="30" t="s">
        <v>32</v>
      </c>
      <c r="D26" s="137" t="s">
        <v>41</v>
      </c>
      <c r="E26" s="138"/>
      <c r="F26" s="138"/>
      <c r="G26" s="139"/>
      <c r="H26" s="52">
        <f>M26</f>
        <v>279.19437499999998</v>
      </c>
      <c r="I26" s="53">
        <f t="shared" si="1"/>
        <v>0</v>
      </c>
      <c r="J26" s="54"/>
      <c r="K26" s="31">
        <v>4467.1099999999997</v>
      </c>
      <c r="L26" s="32">
        <f>K26*1.25</f>
        <v>5583.8874999999998</v>
      </c>
      <c r="M26" s="33">
        <f t="shared" si="3"/>
        <v>279.19437499999998</v>
      </c>
      <c r="N26" s="34"/>
      <c r="O26" s="34"/>
    </row>
    <row r="27" spans="2:15" s="19" customFormat="1" ht="15" hidden="1">
      <c r="B27" s="51"/>
      <c r="C27" s="30" t="s">
        <v>32</v>
      </c>
      <c r="D27" s="137" t="s">
        <v>42</v>
      </c>
      <c r="E27" s="138"/>
      <c r="F27" s="138"/>
      <c r="G27" s="139"/>
      <c r="H27" s="52">
        <f t="shared" ref="H27:H29" si="4">M27</f>
        <v>200.29124999999999</v>
      </c>
      <c r="I27" s="53">
        <f t="shared" si="1"/>
        <v>0</v>
      </c>
      <c r="J27" s="54"/>
      <c r="K27" s="31">
        <v>3204.66</v>
      </c>
      <c r="L27" s="32">
        <f t="shared" ref="L27:L28" si="5">K27*1.25</f>
        <v>4005.8249999999998</v>
      </c>
      <c r="M27" s="33">
        <f t="shared" si="3"/>
        <v>200.29124999999999</v>
      </c>
      <c r="N27" s="34"/>
      <c r="O27" s="34"/>
    </row>
    <row r="28" spans="2:15" s="19" customFormat="1" ht="15" hidden="1">
      <c r="B28" s="51"/>
      <c r="C28" s="30" t="s">
        <v>32</v>
      </c>
      <c r="D28" s="137" t="s">
        <v>43</v>
      </c>
      <c r="E28" s="138"/>
      <c r="F28" s="138"/>
      <c r="G28" s="139"/>
      <c r="H28" s="52">
        <f t="shared" si="4"/>
        <v>97.110624999999999</v>
      </c>
      <c r="I28" s="53">
        <f t="shared" si="1"/>
        <v>0</v>
      </c>
      <c r="J28" s="54"/>
      <c r="K28" s="31">
        <v>1553.77</v>
      </c>
      <c r="L28" s="32">
        <f t="shared" si="5"/>
        <v>1942.2125000000001</v>
      </c>
      <c r="M28" s="33">
        <f t="shared" si="3"/>
        <v>97.110624999999999</v>
      </c>
      <c r="N28" s="34"/>
      <c r="O28" s="34"/>
    </row>
    <row r="29" spans="2:15" s="19" customFormat="1" ht="15" hidden="1">
      <c r="B29" s="51"/>
      <c r="C29" s="30" t="s">
        <v>32</v>
      </c>
      <c r="D29" s="144" t="s">
        <v>44</v>
      </c>
      <c r="E29" s="145"/>
      <c r="F29" s="145"/>
      <c r="G29" s="146"/>
      <c r="H29" s="52">
        <f t="shared" si="4"/>
        <v>131.80500000000001</v>
      </c>
      <c r="I29" s="53">
        <f t="shared" si="1"/>
        <v>0</v>
      </c>
      <c r="J29" s="54"/>
      <c r="K29" s="31">
        <v>1818</v>
      </c>
      <c r="L29" s="32">
        <f t="shared" si="2"/>
        <v>2636.1</v>
      </c>
      <c r="M29" s="33">
        <f t="shared" si="3"/>
        <v>131.80500000000001</v>
      </c>
      <c r="N29" s="34"/>
      <c r="O29" s="34"/>
    </row>
    <row r="30" spans="2:15" s="19" customFormat="1" ht="15" hidden="1">
      <c r="B30" s="4"/>
      <c r="C30" s="30" t="s">
        <v>32</v>
      </c>
      <c r="D30" s="136" t="s">
        <v>45</v>
      </c>
      <c r="E30" s="136"/>
      <c r="F30" s="136"/>
      <c r="G30" s="136"/>
      <c r="H30" s="52">
        <v>0</v>
      </c>
      <c r="I30" s="53">
        <f>H30*B30</f>
        <v>0</v>
      </c>
      <c r="J30" s="54"/>
      <c r="K30" s="7"/>
      <c r="L30" s="18"/>
      <c r="M30" s="55"/>
      <c r="N30" s="56"/>
      <c r="O30" s="56"/>
    </row>
    <row r="31" spans="2:15" s="19" customFormat="1" ht="15" hidden="1">
      <c r="B31" s="4"/>
      <c r="C31" s="30" t="s">
        <v>32</v>
      </c>
      <c r="D31" s="136" t="s">
        <v>46</v>
      </c>
      <c r="E31" s="136"/>
      <c r="F31" s="136"/>
      <c r="G31" s="136"/>
      <c r="H31" s="52">
        <v>0</v>
      </c>
      <c r="I31" s="53">
        <f>H31*B31</f>
        <v>0</v>
      </c>
      <c r="J31" s="54"/>
      <c r="K31" s="7"/>
      <c r="L31" s="18"/>
      <c r="M31" s="55"/>
      <c r="N31" s="56"/>
      <c r="O31" s="56"/>
    </row>
    <row r="32" spans="2:15" s="19" customFormat="1" ht="15" hidden="1">
      <c r="B32" s="4"/>
      <c r="C32" s="30" t="s">
        <v>23</v>
      </c>
      <c r="D32" s="137" t="s">
        <v>47</v>
      </c>
      <c r="E32" s="138"/>
      <c r="F32" s="138"/>
      <c r="G32" s="139"/>
      <c r="H32" s="52">
        <v>80</v>
      </c>
      <c r="I32" s="53">
        <f>H32*B32</f>
        <v>0</v>
      </c>
      <c r="J32" s="54"/>
      <c r="K32" s="7"/>
      <c r="L32" s="18"/>
      <c r="M32" s="55"/>
      <c r="N32" s="56"/>
      <c r="O32" s="56"/>
    </row>
    <row r="33" spans="2:15" s="10" customFormat="1" ht="15.75">
      <c r="B33" s="64"/>
      <c r="C33" s="65" t="s">
        <v>48</v>
      </c>
      <c r="D33" s="140" t="s">
        <v>49</v>
      </c>
      <c r="E33" s="140"/>
      <c r="F33" s="140"/>
      <c r="G33" s="140"/>
      <c r="H33" s="66" t="s">
        <v>50</v>
      </c>
      <c r="I33" s="67">
        <f>SUM(I11:I32)</f>
        <v>3542</v>
      </c>
      <c r="J33" s="8"/>
      <c r="K33" s="9"/>
      <c r="L33" s="20"/>
      <c r="M33" s="10">
        <f>O33*N33</f>
        <v>264</v>
      </c>
      <c r="N33" s="10">
        <v>6</v>
      </c>
      <c r="O33" s="10">
        <v>44</v>
      </c>
    </row>
    <row r="34" spans="2:15" customFormat="1" ht="6.6" customHeight="1">
      <c r="B34" s="141"/>
      <c r="C34" s="142"/>
      <c r="D34" s="142"/>
      <c r="E34" s="142"/>
      <c r="F34" s="142"/>
      <c r="G34" s="142"/>
      <c r="H34" s="142"/>
      <c r="I34" s="143"/>
      <c r="J34" s="11"/>
      <c r="N34">
        <v>4</v>
      </c>
    </row>
    <row r="35" spans="2:15" customFormat="1" ht="8.1" customHeight="1">
      <c r="B35" s="141"/>
      <c r="C35" s="142"/>
      <c r="D35" s="142"/>
      <c r="E35" s="142"/>
      <c r="F35" s="142"/>
      <c r="G35" s="142"/>
      <c r="H35" s="142"/>
      <c r="I35" s="143"/>
      <c r="J35" s="11"/>
    </row>
    <row r="36" spans="2:15" customFormat="1" ht="17.45" customHeight="1">
      <c r="B36" s="21" t="s">
        <v>48</v>
      </c>
      <c r="C36" s="22"/>
      <c r="D36" s="115"/>
      <c r="E36" s="116"/>
      <c r="F36" s="116"/>
      <c r="G36" s="117"/>
      <c r="H36" s="59" t="s">
        <v>51</v>
      </c>
      <c r="I36" s="58">
        <f>I33</f>
        <v>3542</v>
      </c>
      <c r="K36" s="15"/>
      <c r="L36" s="16"/>
    </row>
    <row r="37" spans="2:15" s="1" customFormat="1" ht="16.5" customHeight="1">
      <c r="B37" s="118" t="s">
        <v>52</v>
      </c>
      <c r="C37" s="119"/>
      <c r="D37" s="119"/>
      <c r="E37" s="119"/>
      <c r="F37" s="119"/>
      <c r="G37" s="120"/>
      <c r="H37" s="36" t="s">
        <v>53</v>
      </c>
      <c r="I37" s="23">
        <f>I36</f>
        <v>3542</v>
      </c>
      <c r="K37" s="24"/>
      <c r="N37" s="1">
        <v>1876</v>
      </c>
      <c r="O37" s="1">
        <v>1763.4399999999998</v>
      </c>
    </row>
    <row r="38" spans="2:15" s="1" customFormat="1" ht="17.100000000000001" customHeight="1">
      <c r="B38" s="121" t="s">
        <v>54</v>
      </c>
      <c r="C38" s="122"/>
      <c r="D38" s="127" t="s">
        <v>89</v>
      </c>
      <c r="E38" s="128"/>
      <c r="F38" s="128"/>
      <c r="G38" s="129"/>
      <c r="H38" s="60" t="s">
        <v>56</v>
      </c>
      <c r="I38" s="25">
        <f>I37*0.095</f>
        <v>336.49</v>
      </c>
      <c r="J38" s="3"/>
      <c r="K38" s="24">
        <v>17.5</v>
      </c>
      <c r="L38" s="1">
        <f>J38/K38</f>
        <v>0</v>
      </c>
      <c r="N38" s="1">
        <v>2032</v>
      </c>
      <c r="O38" s="1">
        <v>1097.28</v>
      </c>
    </row>
    <row r="39" spans="2:15" s="1" customFormat="1" ht="18.600000000000001" customHeight="1">
      <c r="B39" s="123"/>
      <c r="C39" s="124"/>
      <c r="D39" s="130"/>
      <c r="E39" s="131"/>
      <c r="F39" s="131"/>
      <c r="G39" s="132"/>
      <c r="H39" s="36" t="s">
        <v>57</v>
      </c>
      <c r="I39" s="23">
        <f>I37+I38</f>
        <v>3878.49</v>
      </c>
      <c r="N39" s="1">
        <v>0</v>
      </c>
      <c r="O39" s="1">
        <v>0</v>
      </c>
    </row>
    <row r="40" spans="2:15" s="1" customFormat="1" ht="16.5" customHeight="1">
      <c r="B40" s="123"/>
      <c r="C40" s="124"/>
      <c r="D40" s="130"/>
      <c r="E40" s="131"/>
      <c r="F40" s="131"/>
      <c r="G40" s="132"/>
      <c r="H40" s="60" t="s">
        <v>58</v>
      </c>
      <c r="I40" s="25">
        <f>I39*0.16</f>
        <v>620.55840000000001</v>
      </c>
      <c r="J40" s="1">
        <f>J41/I41</f>
        <v>4.4225152145507041</v>
      </c>
      <c r="N40" s="1">
        <v>0</v>
      </c>
      <c r="O40" s="1">
        <v>0</v>
      </c>
    </row>
    <row r="41" spans="2:15" s="1" customFormat="1" ht="18.600000000000001" customHeight="1">
      <c r="B41" s="125"/>
      <c r="C41" s="126"/>
      <c r="D41" s="133"/>
      <c r="E41" s="134"/>
      <c r="F41" s="134"/>
      <c r="G41" s="135"/>
      <c r="H41" s="36" t="s">
        <v>59</v>
      </c>
      <c r="I41" s="37">
        <f>I39+I40</f>
        <v>4499.0483999999997</v>
      </c>
      <c r="J41" s="26">
        <v>19897.11</v>
      </c>
      <c r="K41" s="27"/>
      <c r="L41" s="27"/>
      <c r="N41" s="1">
        <v>53</v>
      </c>
      <c r="O41" s="1">
        <v>3312.5</v>
      </c>
    </row>
    <row r="42" spans="2:15">
      <c r="B42" s="83"/>
      <c r="C42" s="84"/>
      <c r="D42" s="84"/>
      <c r="E42" s="84"/>
      <c r="F42" s="84"/>
      <c r="G42" s="84"/>
      <c r="H42" s="84"/>
      <c r="I42" s="85"/>
      <c r="N42" s="13">
        <v>65</v>
      </c>
      <c r="O42" s="13">
        <v>121.55000000000001</v>
      </c>
    </row>
    <row r="43" spans="2:15" ht="18" customHeight="1">
      <c r="B43" s="118" t="s">
        <v>60</v>
      </c>
      <c r="C43" s="119"/>
      <c r="D43" s="119"/>
      <c r="E43" s="119"/>
      <c r="F43" s="119"/>
      <c r="G43" s="119"/>
      <c r="H43" s="119"/>
      <c r="I43" s="120"/>
      <c r="N43" s="13">
        <v>512</v>
      </c>
      <c r="O43" s="13">
        <v>762.88</v>
      </c>
    </row>
    <row r="44" spans="2:15" ht="74.25" customHeight="1">
      <c r="B44" s="102" t="s">
        <v>61</v>
      </c>
      <c r="C44" s="103"/>
      <c r="D44" s="104" t="s">
        <v>90</v>
      </c>
      <c r="E44" s="105"/>
      <c r="F44" s="105"/>
      <c r="G44" s="106"/>
      <c r="H44" s="107"/>
      <c r="I44" s="108"/>
      <c r="O44" s="13">
        <v>0</v>
      </c>
    </row>
    <row r="45" spans="2:15" ht="19.5" customHeight="1">
      <c r="B45" s="111" t="s">
        <v>63</v>
      </c>
      <c r="C45" s="112"/>
      <c r="D45" s="99" t="s">
        <v>64</v>
      </c>
      <c r="E45" s="100"/>
      <c r="F45" s="100"/>
      <c r="G45" s="101"/>
      <c r="H45" s="109"/>
      <c r="I45" s="110"/>
      <c r="O45" s="13">
        <v>0</v>
      </c>
    </row>
    <row r="46" spans="2:15" ht="25.5" customHeight="1">
      <c r="B46" s="102" t="s">
        <v>65</v>
      </c>
      <c r="C46" s="103"/>
      <c r="D46" s="99" t="s">
        <v>66</v>
      </c>
      <c r="E46" s="100"/>
      <c r="F46" s="100"/>
      <c r="G46" s="101"/>
      <c r="H46" s="113" t="s">
        <v>67</v>
      </c>
      <c r="I46" s="114"/>
      <c r="O46" s="13">
        <v>0</v>
      </c>
    </row>
    <row r="47" spans="2:15" ht="18" customHeight="1">
      <c r="B47" s="73" t="s">
        <v>68</v>
      </c>
      <c r="C47" s="74"/>
      <c r="D47" s="61" t="s">
        <v>84</v>
      </c>
      <c r="E47" s="86">
        <f>I41</f>
        <v>4499.0483999999997</v>
      </c>
      <c r="F47" s="87"/>
      <c r="G47" s="88"/>
      <c r="H47" s="89"/>
      <c r="I47" s="90"/>
      <c r="K47" s="13">
        <v>2500</v>
      </c>
      <c r="L47" s="13">
        <v>17.5</v>
      </c>
      <c r="M47" s="13">
        <f>K47/L47</f>
        <v>142.85714285714286</v>
      </c>
      <c r="O47" s="13">
        <v>0</v>
      </c>
    </row>
    <row r="48" spans="2:15" ht="33.75" customHeight="1">
      <c r="B48" s="95" t="s">
        <v>70</v>
      </c>
      <c r="C48" s="96"/>
      <c r="D48" s="35" t="s">
        <v>91</v>
      </c>
      <c r="E48" s="99" t="s">
        <v>72</v>
      </c>
      <c r="F48" s="100"/>
      <c r="G48" s="101"/>
      <c r="H48" s="91"/>
      <c r="I48" s="92"/>
      <c r="K48" s="13">
        <v>25</v>
      </c>
      <c r="L48" s="13">
        <v>4.05</v>
      </c>
      <c r="O48" s="13">
        <v>0</v>
      </c>
    </row>
    <row r="49" spans="2:15" ht="44.25" hidden="1" customHeight="1">
      <c r="B49" s="97"/>
      <c r="C49" s="98"/>
      <c r="D49" s="35" t="s">
        <v>73</v>
      </c>
      <c r="E49" s="99" t="s">
        <v>74</v>
      </c>
      <c r="F49" s="100"/>
      <c r="G49" s="101"/>
      <c r="H49" s="93"/>
      <c r="I49" s="94"/>
      <c r="O49" s="13">
        <v>0</v>
      </c>
    </row>
    <row r="50" spans="2:15" ht="21.6" customHeight="1">
      <c r="B50" s="73" t="s">
        <v>75</v>
      </c>
      <c r="C50" s="74"/>
      <c r="D50" s="75" t="s">
        <v>86</v>
      </c>
      <c r="E50" s="76"/>
      <c r="F50" s="76"/>
      <c r="G50" s="77"/>
      <c r="H50" s="78" t="s">
        <v>76</v>
      </c>
      <c r="I50" s="79"/>
      <c r="K50" s="13">
        <v>35.5</v>
      </c>
      <c r="L50" s="13">
        <f>(K50*L48)/K48</f>
        <v>5.7510000000000003</v>
      </c>
      <c r="O50" s="13">
        <v>0</v>
      </c>
    </row>
    <row r="51" spans="2:15" ht="32.1" hidden="1" customHeight="1">
      <c r="B51" s="73" t="s">
        <v>77</v>
      </c>
      <c r="C51" s="74"/>
      <c r="D51" s="80"/>
      <c r="E51" s="81"/>
      <c r="F51" s="81"/>
      <c r="G51" s="81"/>
      <c r="H51" s="81"/>
      <c r="I51" s="82"/>
      <c r="O51" s="13">
        <v>0</v>
      </c>
    </row>
    <row r="52" spans="2:15" ht="81.75" customHeight="1">
      <c r="B52" s="83"/>
      <c r="C52" s="84"/>
      <c r="D52" s="84"/>
      <c r="E52" s="84"/>
      <c r="F52" s="84"/>
      <c r="G52" s="84"/>
      <c r="H52" s="84"/>
      <c r="I52" s="85"/>
      <c r="O52" s="13">
        <v>0</v>
      </c>
    </row>
    <row r="53" spans="2:15" ht="18">
      <c r="B53" s="70" t="s">
        <v>78</v>
      </c>
      <c r="C53" s="71"/>
      <c r="D53" s="71"/>
      <c r="E53" s="71"/>
      <c r="F53" s="71"/>
      <c r="G53" s="71"/>
      <c r="H53" s="71"/>
      <c r="I53" s="72"/>
      <c r="O53" s="13">
        <v>0</v>
      </c>
    </row>
    <row r="54" spans="2:15" ht="18">
      <c r="B54" s="70" t="s">
        <v>79</v>
      </c>
      <c r="C54" s="71"/>
      <c r="D54" s="71"/>
      <c r="E54" s="71"/>
      <c r="F54" s="71"/>
      <c r="G54" s="71"/>
      <c r="H54" s="71"/>
      <c r="I54" s="72"/>
      <c r="N54" s="13">
        <v>68</v>
      </c>
      <c r="O54" s="13">
        <v>202.64</v>
      </c>
    </row>
    <row r="55" spans="2:15">
      <c r="O55" s="13">
        <v>0</v>
      </c>
    </row>
    <row r="56" spans="2:15">
      <c r="O56" s="13">
        <v>0</v>
      </c>
    </row>
    <row r="57" spans="2:15">
      <c r="O57" s="13">
        <v>0</v>
      </c>
    </row>
    <row r="58" spans="2:15">
      <c r="D58" s="12"/>
      <c r="O58" s="13">
        <v>0</v>
      </c>
    </row>
    <row r="59" spans="2:15">
      <c r="D59" s="12"/>
      <c r="O59" s="13">
        <v>0</v>
      </c>
    </row>
    <row r="60" spans="2:15">
      <c r="D60" s="12"/>
      <c r="O60" s="13">
        <v>0</v>
      </c>
    </row>
    <row r="61" spans="2:15">
      <c r="D61" s="12"/>
      <c r="O61" s="13">
        <v>0</v>
      </c>
    </row>
    <row r="62" spans="2:15">
      <c r="D62" s="12"/>
      <c r="O62" s="13">
        <v>0</v>
      </c>
    </row>
    <row r="63" spans="2:15">
      <c r="C63" s="29"/>
      <c r="D63" s="14"/>
      <c r="O63" s="13">
        <v>0</v>
      </c>
    </row>
    <row r="64" spans="2:15">
      <c r="D64" s="12"/>
      <c r="O64" s="13">
        <v>0</v>
      </c>
    </row>
    <row r="65" spans="4:15">
      <c r="D65" s="12"/>
      <c r="O65" s="13">
        <v>0</v>
      </c>
    </row>
    <row r="66" spans="4:15">
      <c r="O66" s="13">
        <v>0</v>
      </c>
    </row>
    <row r="67" spans="4:15">
      <c r="O67" s="13">
        <v>0</v>
      </c>
    </row>
    <row r="68" spans="4:15">
      <c r="O68" s="13">
        <v>0</v>
      </c>
    </row>
    <row r="69" spans="4:15">
      <c r="O69" s="13">
        <v>0</v>
      </c>
    </row>
    <row r="70" spans="4:15">
      <c r="O70" s="13">
        <v>7260.29</v>
      </c>
    </row>
  </sheetData>
  <mergeCells count="70">
    <mergeCell ref="B53:I53"/>
    <mergeCell ref="B54:I54"/>
    <mergeCell ref="B50:C50"/>
    <mergeCell ref="D50:G50"/>
    <mergeCell ref="H50:I50"/>
    <mergeCell ref="B51:C51"/>
    <mergeCell ref="D51:I51"/>
    <mergeCell ref="B52:I52"/>
    <mergeCell ref="B47:C47"/>
    <mergeCell ref="E47:G47"/>
    <mergeCell ref="H47:I49"/>
    <mergeCell ref="B48:C49"/>
    <mergeCell ref="E48:G48"/>
    <mergeCell ref="E49:G49"/>
    <mergeCell ref="B46:C46"/>
    <mergeCell ref="D46:G46"/>
    <mergeCell ref="H46:I46"/>
    <mergeCell ref="D36:G36"/>
    <mergeCell ref="B37:G37"/>
    <mergeCell ref="B38:C41"/>
    <mergeCell ref="D38:G41"/>
    <mergeCell ref="B42:I42"/>
    <mergeCell ref="B43:I43"/>
    <mergeCell ref="B44:C44"/>
    <mergeCell ref="D44:G44"/>
    <mergeCell ref="H44:I45"/>
    <mergeCell ref="B45:C45"/>
    <mergeCell ref="D45:G45"/>
    <mergeCell ref="B35:I35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B34:I34"/>
    <mergeCell ref="D23:G23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11:G11"/>
    <mergeCell ref="B4:C4"/>
    <mergeCell ref="D4:I4"/>
    <mergeCell ref="B5:C5"/>
    <mergeCell ref="D5:I5"/>
    <mergeCell ref="B6:C6"/>
    <mergeCell ref="D6:I6"/>
    <mergeCell ref="B7:C7"/>
    <mergeCell ref="D7:G7"/>
    <mergeCell ref="B8:I8"/>
    <mergeCell ref="B9:I9"/>
    <mergeCell ref="D10:G10"/>
    <mergeCell ref="B1:C1"/>
    <mergeCell ref="D1:G1"/>
    <mergeCell ref="H1:I1"/>
    <mergeCell ref="D2:G2"/>
    <mergeCell ref="B3:C3"/>
    <mergeCell ref="D3:I3"/>
  </mergeCells>
  <conditionalFormatting sqref="L9:L33">
    <cfRule type="expression" dxfId="5" priority="1" stopIfTrue="1">
      <formula>#REF!="Error"</formula>
    </cfRule>
  </conditionalFormatting>
  <conditionalFormatting sqref="L36">
    <cfRule type="expression" dxfId="4" priority="2" stopIfTrue="1">
      <formula>#REF!="Error"</formula>
    </cfRule>
  </conditionalFormatting>
  <pageMargins left="0.51181102362204722" right="0.31496062992125984" top="0.35433070866141736" bottom="0.35433070866141736" header="0.31496062992125984" footer="0.31496062992125984"/>
  <pageSetup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1B7C-295B-D246-AB9F-9D6461332100}">
  <dimension ref="A1:O70"/>
  <sheetViews>
    <sheetView topLeftCell="B1" zoomScaleNormal="100" zoomScaleSheetLayoutView="100" workbookViewId="0">
      <selection activeCell="B9" sqref="B9:I9"/>
    </sheetView>
  </sheetViews>
  <sheetFormatPr defaultColWidth="11.42578125" defaultRowHeight="12.75"/>
  <cols>
    <col min="1" max="1" width="2" style="13" hidden="1" customWidth="1"/>
    <col min="2" max="3" width="16.42578125" style="13" customWidth="1"/>
    <col min="4" max="4" width="15.7109375" style="13" customWidth="1"/>
    <col min="5" max="6" width="11.42578125" style="13"/>
    <col min="7" max="7" width="28.28515625" style="13" customWidth="1"/>
    <col min="8" max="8" width="18.140625" style="28" customWidth="1"/>
    <col min="9" max="9" width="19.42578125" style="28" customWidth="1"/>
    <col min="10" max="10" width="18.140625" style="13" customWidth="1"/>
    <col min="11" max="11" width="14.28515625" style="13" customWidth="1"/>
    <col min="12" max="12" width="11.7109375" style="13" customWidth="1"/>
    <col min="13" max="13" width="11.42578125" style="13"/>
    <col min="14" max="14" width="11.7109375" style="13" customWidth="1"/>
    <col min="15" max="16384" width="11.42578125" style="13"/>
  </cols>
  <sheetData>
    <row r="1" spans="2:15" ht="90.75" customHeight="1">
      <c r="B1" s="160"/>
      <c r="C1" s="160"/>
      <c r="D1" s="161" t="s">
        <v>0</v>
      </c>
      <c r="E1" s="161"/>
      <c r="F1" s="161"/>
      <c r="G1" s="161"/>
      <c r="H1" s="162" t="s">
        <v>1</v>
      </c>
      <c r="I1" s="162"/>
    </row>
    <row r="2" spans="2:15" ht="19.5" customHeight="1">
      <c r="B2" s="43" t="s">
        <v>2</v>
      </c>
      <c r="C2" s="44">
        <f ca="1">TODAY()</f>
        <v>46320</v>
      </c>
      <c r="D2" s="163"/>
      <c r="E2" s="163"/>
      <c r="F2" s="163"/>
      <c r="G2" s="163"/>
      <c r="H2" s="2" t="s">
        <v>3</v>
      </c>
      <c r="I2" s="2" t="s">
        <v>4</v>
      </c>
      <c r="K2" s="5"/>
    </row>
    <row r="3" spans="2:15" ht="15.95" customHeight="1">
      <c r="B3" s="151" t="s">
        <v>5</v>
      </c>
      <c r="C3" s="151"/>
      <c r="D3" s="152" t="s">
        <v>6</v>
      </c>
      <c r="E3" s="152"/>
      <c r="F3" s="152"/>
      <c r="G3" s="152"/>
      <c r="H3" s="152"/>
      <c r="I3" s="152"/>
      <c r="K3" s="5"/>
    </row>
    <row r="4" spans="2:15" ht="17.100000000000001" customHeight="1">
      <c r="B4" s="151" t="s">
        <v>7</v>
      </c>
      <c r="C4" s="151"/>
      <c r="D4" s="152" t="s">
        <v>92</v>
      </c>
      <c r="E4" s="152"/>
      <c r="F4" s="152"/>
      <c r="G4" s="152"/>
      <c r="H4" s="152"/>
      <c r="I4" s="152"/>
      <c r="K4" s="5"/>
    </row>
    <row r="5" spans="2:15" ht="15.6" customHeight="1">
      <c r="B5" s="78" t="s">
        <v>9</v>
      </c>
      <c r="C5" s="79"/>
      <c r="D5" s="156" t="s">
        <v>10</v>
      </c>
      <c r="E5" s="157"/>
      <c r="F5" s="157"/>
      <c r="G5" s="157"/>
      <c r="H5" s="157"/>
      <c r="I5" s="158"/>
      <c r="K5" s="5"/>
    </row>
    <row r="6" spans="2:15" ht="14.45" customHeight="1">
      <c r="B6" s="151" t="s">
        <v>11</v>
      </c>
      <c r="C6" s="151"/>
      <c r="D6" s="152" t="s">
        <v>12</v>
      </c>
      <c r="E6" s="152"/>
      <c r="F6" s="152"/>
      <c r="G6" s="152"/>
      <c r="H6" s="152"/>
      <c r="I6" s="159"/>
    </row>
    <row r="7" spans="2:15" ht="17.100000000000001" customHeight="1" thickBot="1">
      <c r="B7" s="151" t="s">
        <v>13</v>
      </c>
      <c r="C7" s="151"/>
      <c r="D7" s="152" t="s">
        <v>14</v>
      </c>
      <c r="E7" s="152"/>
      <c r="F7" s="152"/>
      <c r="G7" s="152"/>
      <c r="H7" s="68" t="s">
        <v>15</v>
      </c>
      <c r="I7" s="69" t="s">
        <v>16</v>
      </c>
      <c r="L7" s="42" t="e">
        <f>#REF!*#REF!</f>
        <v>#REF!</v>
      </c>
    </row>
    <row r="8" spans="2:15" ht="9.9499999999999993" customHeight="1">
      <c r="B8" s="153"/>
      <c r="C8" s="153"/>
      <c r="D8" s="153"/>
      <c r="E8" s="153"/>
      <c r="F8" s="153"/>
      <c r="G8" s="153"/>
      <c r="H8" s="153"/>
      <c r="I8" s="153"/>
    </row>
    <row r="9" spans="2:15" customFormat="1" ht="15.75" customHeight="1">
      <c r="B9" s="154" t="s">
        <v>17</v>
      </c>
      <c r="C9" s="154"/>
      <c r="D9" s="154"/>
      <c r="E9" s="154"/>
      <c r="F9" s="154"/>
      <c r="G9" s="154"/>
      <c r="H9" s="154"/>
      <c r="I9" s="154"/>
      <c r="K9" s="15"/>
      <c r="L9" s="16"/>
    </row>
    <row r="10" spans="2:15" s="6" customFormat="1" ht="15">
      <c r="B10" s="45" t="s">
        <v>18</v>
      </c>
      <c r="C10" s="46" t="s">
        <v>19</v>
      </c>
      <c r="D10" s="155" t="s">
        <v>20</v>
      </c>
      <c r="E10" s="155"/>
      <c r="F10" s="155"/>
      <c r="G10" s="155"/>
      <c r="H10" s="47" t="s">
        <v>21</v>
      </c>
      <c r="I10" s="47" t="s">
        <v>22</v>
      </c>
      <c r="J10" s="48"/>
      <c r="K10" s="15"/>
      <c r="L10" s="17"/>
      <c r="M10" s="48"/>
      <c r="N10" s="48"/>
      <c r="O10" s="48"/>
    </row>
    <row r="11" spans="2:15" s="40" customFormat="1" ht="15" hidden="1">
      <c r="B11" s="62">
        <v>0</v>
      </c>
      <c r="C11" s="63" t="s">
        <v>23</v>
      </c>
      <c r="D11" s="147" t="s">
        <v>24</v>
      </c>
      <c r="E11" s="147"/>
      <c r="F11" s="147"/>
      <c r="G11" s="147"/>
      <c r="H11" s="52">
        <f>(6.5*380)</f>
        <v>2470</v>
      </c>
      <c r="I11" s="52">
        <f t="shared" ref="I11:I20" si="0">H11*B11</f>
        <v>0</v>
      </c>
      <c r="J11" s="41"/>
      <c r="K11" s="38"/>
      <c r="L11" s="39"/>
      <c r="M11" s="49">
        <v>1050</v>
      </c>
      <c r="N11" s="50">
        <v>20</v>
      </c>
      <c r="O11" s="49">
        <f>M11/N11</f>
        <v>52.5</v>
      </c>
    </row>
    <row r="12" spans="2:15" s="40" customFormat="1" ht="15" hidden="1">
      <c r="B12" s="62">
        <v>0</v>
      </c>
      <c r="C12" s="63" t="s">
        <v>23</v>
      </c>
      <c r="D12" s="147" t="s">
        <v>25</v>
      </c>
      <c r="E12" s="147"/>
      <c r="F12" s="147"/>
      <c r="G12" s="147"/>
      <c r="H12" s="52">
        <v>4500</v>
      </c>
      <c r="I12" s="52">
        <f t="shared" si="0"/>
        <v>0</v>
      </c>
      <c r="J12" s="41"/>
      <c r="K12" s="38"/>
      <c r="L12" s="39"/>
      <c r="M12" s="49"/>
      <c r="N12" s="50"/>
      <c r="O12" s="50"/>
    </row>
    <row r="13" spans="2:15" s="40" customFormat="1" ht="15" hidden="1">
      <c r="B13" s="62">
        <v>0</v>
      </c>
      <c r="C13" s="63" t="s">
        <v>23</v>
      </c>
      <c r="D13" s="147" t="s">
        <v>26</v>
      </c>
      <c r="E13" s="147"/>
      <c r="F13" s="147"/>
      <c r="G13" s="147"/>
      <c r="H13" s="52">
        <f>91*45</f>
        <v>4095</v>
      </c>
      <c r="I13" s="52">
        <f t="shared" si="0"/>
        <v>0</v>
      </c>
      <c r="J13" s="41"/>
      <c r="K13" s="38"/>
      <c r="L13" s="39"/>
      <c r="M13" s="49"/>
      <c r="N13" s="50"/>
      <c r="O13" s="50"/>
    </row>
    <row r="14" spans="2:15" s="40" customFormat="1" ht="15" hidden="1">
      <c r="B14" s="62">
        <v>0</v>
      </c>
      <c r="C14" s="63" t="s">
        <v>23</v>
      </c>
      <c r="D14" s="147" t="s">
        <v>27</v>
      </c>
      <c r="E14" s="147"/>
      <c r="F14" s="147"/>
      <c r="G14" s="147"/>
      <c r="H14" s="52">
        <f>(36.8*280)</f>
        <v>10304</v>
      </c>
      <c r="I14" s="52">
        <f t="shared" si="0"/>
        <v>0</v>
      </c>
      <c r="J14" s="41"/>
      <c r="K14" s="38"/>
      <c r="L14" s="39"/>
      <c r="M14" s="49">
        <v>63</v>
      </c>
      <c r="N14" s="50"/>
      <c r="O14" s="50"/>
    </row>
    <row r="15" spans="2:15" s="40" customFormat="1" ht="15" hidden="1">
      <c r="B15" s="62">
        <v>0</v>
      </c>
      <c r="C15" s="63" t="s">
        <v>23</v>
      </c>
      <c r="D15" s="136" t="s">
        <v>28</v>
      </c>
      <c r="E15" s="136"/>
      <c r="F15" s="136"/>
      <c r="G15" s="136"/>
      <c r="H15" s="52">
        <v>250</v>
      </c>
      <c r="I15" s="52">
        <f t="shared" si="0"/>
        <v>0</v>
      </c>
      <c r="J15" s="41"/>
      <c r="K15" s="38"/>
      <c r="L15" s="39"/>
      <c r="M15" s="49"/>
      <c r="N15" s="50"/>
      <c r="O15" s="50"/>
    </row>
    <row r="16" spans="2:15" s="40" customFormat="1" ht="15" hidden="1">
      <c r="B16" s="62">
        <v>0</v>
      </c>
      <c r="C16" s="63" t="s">
        <v>23</v>
      </c>
      <c r="D16" s="136" t="s">
        <v>29</v>
      </c>
      <c r="E16" s="136"/>
      <c r="F16" s="136"/>
      <c r="G16" s="136"/>
      <c r="H16" s="52">
        <f>(3*280)</f>
        <v>840</v>
      </c>
      <c r="I16" s="52">
        <f t="shared" si="0"/>
        <v>0</v>
      </c>
      <c r="J16" s="41"/>
      <c r="K16" s="38"/>
      <c r="L16" s="39"/>
      <c r="M16" s="49"/>
      <c r="N16" s="50"/>
      <c r="O16" s="50"/>
    </row>
    <row r="17" spans="2:15" s="40" customFormat="1" ht="15" hidden="1">
      <c r="B17" s="51">
        <v>0</v>
      </c>
      <c r="C17" s="30" t="s">
        <v>30</v>
      </c>
      <c r="D17" s="148" t="s">
        <v>31</v>
      </c>
      <c r="E17" s="149"/>
      <c r="F17" s="149"/>
      <c r="G17" s="150"/>
      <c r="H17" s="52">
        <v>95</v>
      </c>
      <c r="I17" s="52">
        <f t="shared" si="0"/>
        <v>0</v>
      </c>
      <c r="J17" s="41"/>
      <c r="K17" s="38"/>
      <c r="L17" s="39"/>
      <c r="M17" s="49"/>
      <c r="N17" s="50"/>
      <c r="O17" s="50"/>
    </row>
    <row r="18" spans="2:15" s="40" customFormat="1" ht="15">
      <c r="B18" s="51">
        <v>2300</v>
      </c>
      <c r="C18" s="30" t="s">
        <v>32</v>
      </c>
      <c r="D18" s="137" t="s">
        <v>33</v>
      </c>
      <c r="E18" s="138"/>
      <c r="F18" s="138"/>
      <c r="G18" s="139"/>
      <c r="H18" s="52">
        <v>0.98</v>
      </c>
      <c r="I18" s="53">
        <f t="shared" si="0"/>
        <v>2254</v>
      </c>
      <c r="J18" s="41"/>
      <c r="K18" s="38"/>
      <c r="L18" s="39"/>
      <c r="M18" s="49"/>
      <c r="N18" s="50"/>
      <c r="O18" s="50"/>
    </row>
    <row r="19" spans="2:15" s="19" customFormat="1" ht="15">
      <c r="B19" s="51">
        <v>2300</v>
      </c>
      <c r="C19" s="30" t="s">
        <v>32</v>
      </c>
      <c r="D19" s="137" t="s">
        <v>34</v>
      </c>
      <c r="E19" s="138"/>
      <c r="F19" s="138"/>
      <c r="G19" s="139"/>
      <c r="H19" s="52">
        <v>0.56000000000000005</v>
      </c>
      <c r="I19" s="53">
        <f t="shared" si="0"/>
        <v>1288.0000000000002</v>
      </c>
      <c r="J19" s="54"/>
      <c r="K19" s="7"/>
      <c r="L19" s="18"/>
      <c r="M19" s="55"/>
      <c r="N19" s="56"/>
      <c r="O19" s="56"/>
    </row>
    <row r="20" spans="2:15" s="19" customFormat="1" ht="15" hidden="1">
      <c r="B20" s="51"/>
      <c r="C20" s="30"/>
      <c r="D20" s="137" t="s">
        <v>35</v>
      </c>
      <c r="E20" s="138"/>
      <c r="F20" s="138"/>
      <c r="G20" s="139"/>
      <c r="H20" s="52">
        <v>1.92</v>
      </c>
      <c r="I20" s="53">
        <f t="shared" si="0"/>
        <v>0</v>
      </c>
      <c r="J20" s="54"/>
      <c r="K20" s="7"/>
      <c r="L20" s="18"/>
      <c r="M20" s="55"/>
      <c r="N20" s="56"/>
      <c r="O20" s="56"/>
    </row>
    <row r="21" spans="2:15" s="19" customFormat="1" ht="15" hidden="1">
      <c r="B21" s="51"/>
      <c r="C21" s="30"/>
      <c r="D21" s="136" t="s">
        <v>36</v>
      </c>
      <c r="E21" s="136"/>
      <c r="F21" s="136"/>
      <c r="G21" s="136"/>
      <c r="H21" s="52">
        <v>4.72</v>
      </c>
      <c r="I21" s="53">
        <f>H21*B21</f>
        <v>0</v>
      </c>
      <c r="J21" s="57">
        <f>H21*J40</f>
        <v>22.857327634883855</v>
      </c>
      <c r="K21" s="7">
        <f>H21*B21</f>
        <v>0</v>
      </c>
      <c r="L21" s="18"/>
      <c r="M21" s="55"/>
      <c r="N21" s="56"/>
      <c r="O21" s="56"/>
    </row>
    <row r="22" spans="2:15" s="19" customFormat="1" ht="15" hidden="1">
      <c r="B22" s="51"/>
      <c r="C22" s="30" t="s">
        <v>32</v>
      </c>
      <c r="D22" s="136" t="s">
        <v>37</v>
      </c>
      <c r="E22" s="136"/>
      <c r="F22" s="136"/>
      <c r="G22" s="136"/>
      <c r="H22" s="52">
        <v>62.5</v>
      </c>
      <c r="I22" s="53">
        <f t="shared" ref="I22:I29" si="1">H22*B22</f>
        <v>0</v>
      </c>
      <c r="J22" s="54"/>
      <c r="K22" s="31"/>
      <c r="L22" s="32"/>
      <c r="M22" s="33"/>
      <c r="N22" s="34"/>
      <c r="O22" s="34"/>
    </row>
    <row r="23" spans="2:15" s="19" customFormat="1" ht="15" hidden="1">
      <c r="B23" s="51"/>
      <c r="C23" s="30" t="s">
        <v>32</v>
      </c>
      <c r="D23" s="137" t="s">
        <v>38</v>
      </c>
      <c r="E23" s="138"/>
      <c r="F23" s="138"/>
      <c r="G23" s="139"/>
      <c r="H23" s="52">
        <v>49</v>
      </c>
      <c r="I23" s="53">
        <f t="shared" si="1"/>
        <v>0</v>
      </c>
      <c r="J23" s="54"/>
      <c r="K23" s="31">
        <v>667.83</v>
      </c>
      <c r="L23" s="32">
        <f>K23*1.45</f>
        <v>968.35350000000005</v>
      </c>
      <c r="M23" s="33">
        <f>L23/20</f>
        <v>48.417675000000003</v>
      </c>
      <c r="N23" s="34"/>
      <c r="O23" s="34"/>
    </row>
    <row r="24" spans="2:15" s="19" customFormat="1" ht="15" hidden="1">
      <c r="B24" s="51"/>
      <c r="C24" s="30" t="s">
        <v>32</v>
      </c>
      <c r="D24" s="137" t="s">
        <v>39</v>
      </c>
      <c r="E24" s="138"/>
      <c r="F24" s="138"/>
      <c r="G24" s="139"/>
      <c r="H24" s="52">
        <v>56</v>
      </c>
      <c r="I24" s="53">
        <f t="shared" si="1"/>
        <v>0</v>
      </c>
      <c r="J24" s="54"/>
      <c r="K24" s="31">
        <v>763.23</v>
      </c>
      <c r="L24" s="32">
        <f t="shared" ref="L24:L29" si="2">K24*1.45</f>
        <v>1106.6835000000001</v>
      </c>
      <c r="M24" s="33">
        <f t="shared" ref="M24:M29" si="3">L24/20</f>
        <v>55.334175000000002</v>
      </c>
      <c r="N24" s="34"/>
      <c r="O24" s="34"/>
    </row>
    <row r="25" spans="2:15" s="19" customFormat="1" ht="15" hidden="1">
      <c r="B25" s="51"/>
      <c r="C25" s="30" t="s">
        <v>32</v>
      </c>
      <c r="D25" s="137" t="s">
        <v>40</v>
      </c>
      <c r="E25" s="138"/>
      <c r="F25" s="138"/>
      <c r="G25" s="139"/>
      <c r="H25" s="52">
        <v>28</v>
      </c>
      <c r="I25" s="53">
        <f t="shared" si="1"/>
        <v>0</v>
      </c>
      <c r="J25" s="54"/>
      <c r="K25" s="31">
        <v>381.62</v>
      </c>
      <c r="L25" s="32">
        <f t="shared" si="2"/>
        <v>553.34900000000005</v>
      </c>
      <c r="M25" s="33">
        <f t="shared" si="3"/>
        <v>27.667450000000002</v>
      </c>
      <c r="N25" s="34"/>
      <c r="O25" s="34"/>
    </row>
    <row r="26" spans="2:15" s="19" customFormat="1" ht="15" hidden="1">
      <c r="B26" s="51"/>
      <c r="C26" s="30" t="s">
        <v>32</v>
      </c>
      <c r="D26" s="137" t="s">
        <v>41</v>
      </c>
      <c r="E26" s="138"/>
      <c r="F26" s="138"/>
      <c r="G26" s="139"/>
      <c r="H26" s="52">
        <f>M26</f>
        <v>279.19437499999998</v>
      </c>
      <c r="I26" s="53">
        <f t="shared" si="1"/>
        <v>0</v>
      </c>
      <c r="J26" s="54"/>
      <c r="K26" s="31">
        <v>4467.1099999999997</v>
      </c>
      <c r="L26" s="32">
        <f>K26*1.25</f>
        <v>5583.8874999999998</v>
      </c>
      <c r="M26" s="33">
        <f t="shared" si="3"/>
        <v>279.19437499999998</v>
      </c>
      <c r="N26" s="34"/>
      <c r="O26" s="34"/>
    </row>
    <row r="27" spans="2:15" s="19" customFormat="1" ht="15" hidden="1">
      <c r="B27" s="51"/>
      <c r="C27" s="30" t="s">
        <v>32</v>
      </c>
      <c r="D27" s="137" t="s">
        <v>42</v>
      </c>
      <c r="E27" s="138"/>
      <c r="F27" s="138"/>
      <c r="G27" s="139"/>
      <c r="H27" s="52">
        <f t="shared" ref="H27:H29" si="4">M27</f>
        <v>200.29124999999999</v>
      </c>
      <c r="I27" s="53">
        <f t="shared" si="1"/>
        <v>0</v>
      </c>
      <c r="J27" s="54"/>
      <c r="K27" s="31">
        <v>3204.66</v>
      </c>
      <c r="L27" s="32">
        <f t="shared" ref="L27:L28" si="5">K27*1.25</f>
        <v>4005.8249999999998</v>
      </c>
      <c r="M27" s="33">
        <f t="shared" si="3"/>
        <v>200.29124999999999</v>
      </c>
      <c r="N27" s="34"/>
      <c r="O27" s="34"/>
    </row>
    <row r="28" spans="2:15" s="19" customFormat="1" ht="15" hidden="1">
      <c r="B28" s="51"/>
      <c r="C28" s="30" t="s">
        <v>32</v>
      </c>
      <c r="D28" s="137" t="s">
        <v>43</v>
      </c>
      <c r="E28" s="138"/>
      <c r="F28" s="138"/>
      <c r="G28" s="139"/>
      <c r="H28" s="52">
        <f t="shared" si="4"/>
        <v>97.110624999999999</v>
      </c>
      <c r="I28" s="53">
        <f t="shared" si="1"/>
        <v>0</v>
      </c>
      <c r="J28" s="54"/>
      <c r="K28" s="31">
        <v>1553.77</v>
      </c>
      <c r="L28" s="32">
        <f t="shared" si="5"/>
        <v>1942.2125000000001</v>
      </c>
      <c r="M28" s="33">
        <f t="shared" si="3"/>
        <v>97.110624999999999</v>
      </c>
      <c r="N28" s="34"/>
      <c r="O28" s="34"/>
    </row>
    <row r="29" spans="2:15" s="19" customFormat="1" ht="15" hidden="1">
      <c r="B29" s="51"/>
      <c r="C29" s="30" t="s">
        <v>32</v>
      </c>
      <c r="D29" s="144" t="s">
        <v>44</v>
      </c>
      <c r="E29" s="145"/>
      <c r="F29" s="145"/>
      <c r="G29" s="146"/>
      <c r="H29" s="52">
        <f t="shared" si="4"/>
        <v>131.80500000000001</v>
      </c>
      <c r="I29" s="53">
        <f t="shared" si="1"/>
        <v>0</v>
      </c>
      <c r="J29" s="54"/>
      <c r="K29" s="31">
        <v>1818</v>
      </c>
      <c r="L29" s="32">
        <f t="shared" si="2"/>
        <v>2636.1</v>
      </c>
      <c r="M29" s="33">
        <f t="shared" si="3"/>
        <v>131.80500000000001</v>
      </c>
      <c r="N29" s="34"/>
      <c r="O29" s="34"/>
    </row>
    <row r="30" spans="2:15" s="19" customFormat="1" ht="15" hidden="1">
      <c r="B30" s="4"/>
      <c r="C30" s="30" t="s">
        <v>32</v>
      </c>
      <c r="D30" s="136" t="s">
        <v>45</v>
      </c>
      <c r="E30" s="136"/>
      <c r="F30" s="136"/>
      <c r="G30" s="136"/>
      <c r="H30" s="52">
        <v>0</v>
      </c>
      <c r="I30" s="53">
        <f>H30*B30</f>
        <v>0</v>
      </c>
      <c r="J30" s="54"/>
      <c r="K30" s="7"/>
      <c r="L30" s="18"/>
      <c r="M30" s="55"/>
      <c r="N30" s="56"/>
      <c r="O30" s="56"/>
    </row>
    <row r="31" spans="2:15" s="19" customFormat="1" ht="15" hidden="1">
      <c r="B31" s="4"/>
      <c r="C31" s="30" t="s">
        <v>32</v>
      </c>
      <c r="D31" s="136" t="s">
        <v>46</v>
      </c>
      <c r="E31" s="136"/>
      <c r="F31" s="136"/>
      <c r="G31" s="136"/>
      <c r="H31" s="52">
        <v>0</v>
      </c>
      <c r="I31" s="53">
        <f>H31*B31</f>
        <v>0</v>
      </c>
      <c r="J31" s="54"/>
      <c r="K31" s="7"/>
      <c r="L31" s="18"/>
      <c r="M31" s="55"/>
      <c r="N31" s="56"/>
      <c r="O31" s="56"/>
    </row>
    <row r="32" spans="2:15" s="19" customFormat="1" ht="15" hidden="1">
      <c r="B32" s="4"/>
      <c r="C32" s="30" t="s">
        <v>23</v>
      </c>
      <c r="D32" s="137" t="s">
        <v>47</v>
      </c>
      <c r="E32" s="138"/>
      <c r="F32" s="138"/>
      <c r="G32" s="139"/>
      <c r="H32" s="52">
        <v>80</v>
      </c>
      <c r="I32" s="53">
        <f>H32*B32</f>
        <v>0</v>
      </c>
      <c r="J32" s="54"/>
      <c r="K32" s="7"/>
      <c r="L32" s="18"/>
      <c r="M32" s="55"/>
      <c r="N32" s="56"/>
      <c r="O32" s="56"/>
    </row>
    <row r="33" spans="2:15" s="10" customFormat="1" ht="15.75">
      <c r="B33" s="64"/>
      <c r="C33" s="65" t="s">
        <v>48</v>
      </c>
      <c r="D33" s="140" t="s">
        <v>49</v>
      </c>
      <c r="E33" s="140"/>
      <c r="F33" s="140"/>
      <c r="G33" s="140"/>
      <c r="H33" s="66" t="s">
        <v>50</v>
      </c>
      <c r="I33" s="67">
        <f>SUM(I11:I32)</f>
        <v>3542</v>
      </c>
      <c r="J33" s="8"/>
      <c r="K33" s="9"/>
      <c r="L33" s="20"/>
      <c r="M33" s="10">
        <f>O33*N33</f>
        <v>264</v>
      </c>
      <c r="N33" s="10">
        <v>6</v>
      </c>
      <c r="O33" s="10">
        <v>44</v>
      </c>
    </row>
    <row r="34" spans="2:15" customFormat="1" ht="6.6" customHeight="1">
      <c r="B34" s="141"/>
      <c r="C34" s="142"/>
      <c r="D34" s="142"/>
      <c r="E34" s="142"/>
      <c r="F34" s="142"/>
      <c r="G34" s="142"/>
      <c r="H34" s="142"/>
      <c r="I34" s="143"/>
      <c r="J34" s="11"/>
      <c r="N34">
        <v>4</v>
      </c>
    </row>
    <row r="35" spans="2:15" customFormat="1" ht="8.1" customHeight="1">
      <c r="B35" s="141"/>
      <c r="C35" s="142"/>
      <c r="D35" s="142"/>
      <c r="E35" s="142"/>
      <c r="F35" s="142"/>
      <c r="G35" s="142"/>
      <c r="H35" s="142"/>
      <c r="I35" s="143"/>
      <c r="J35" s="11"/>
    </row>
    <row r="36" spans="2:15" customFormat="1" ht="17.45" customHeight="1">
      <c r="B36" s="21" t="s">
        <v>48</v>
      </c>
      <c r="C36" s="22"/>
      <c r="D36" s="115"/>
      <c r="E36" s="116"/>
      <c r="F36" s="116"/>
      <c r="G36" s="117"/>
      <c r="H36" s="59" t="s">
        <v>51</v>
      </c>
      <c r="I36" s="58">
        <f>I33</f>
        <v>3542</v>
      </c>
      <c r="K36" s="15"/>
      <c r="L36" s="16"/>
    </row>
    <row r="37" spans="2:15" s="1" customFormat="1" ht="16.5" customHeight="1">
      <c r="B37" s="118" t="s">
        <v>52</v>
      </c>
      <c r="C37" s="119"/>
      <c r="D37" s="119"/>
      <c r="E37" s="119"/>
      <c r="F37" s="119"/>
      <c r="G37" s="120"/>
      <c r="H37" s="36" t="s">
        <v>53</v>
      </c>
      <c r="I37" s="23">
        <f>I36</f>
        <v>3542</v>
      </c>
      <c r="K37" s="24"/>
      <c r="N37" s="1">
        <v>1876</v>
      </c>
      <c r="O37" s="1">
        <v>1763.4399999999998</v>
      </c>
    </row>
    <row r="38" spans="2:15" s="1" customFormat="1" ht="17.100000000000001" customHeight="1">
      <c r="B38" s="121" t="s">
        <v>54</v>
      </c>
      <c r="C38" s="122"/>
      <c r="D38" s="127" t="s">
        <v>93</v>
      </c>
      <c r="E38" s="128"/>
      <c r="F38" s="128"/>
      <c r="G38" s="129"/>
      <c r="H38" s="60" t="s">
        <v>56</v>
      </c>
      <c r="I38" s="25"/>
      <c r="J38" s="3"/>
      <c r="K38" s="24">
        <v>17.5</v>
      </c>
      <c r="L38" s="1">
        <f>J38/K38</f>
        <v>0</v>
      </c>
      <c r="N38" s="1">
        <v>2032</v>
      </c>
      <c r="O38" s="1">
        <v>1097.28</v>
      </c>
    </row>
    <row r="39" spans="2:15" s="1" customFormat="1" ht="18.600000000000001" customHeight="1">
      <c r="B39" s="123"/>
      <c r="C39" s="124"/>
      <c r="D39" s="130"/>
      <c r="E39" s="131"/>
      <c r="F39" s="131"/>
      <c r="G39" s="132"/>
      <c r="H39" s="36" t="s">
        <v>57</v>
      </c>
      <c r="I39" s="23">
        <f>I37+I38</f>
        <v>3542</v>
      </c>
      <c r="N39" s="1">
        <v>0</v>
      </c>
      <c r="O39" s="1">
        <v>0</v>
      </c>
    </row>
    <row r="40" spans="2:15" s="1" customFormat="1" ht="16.5" customHeight="1">
      <c r="B40" s="123"/>
      <c r="C40" s="124"/>
      <c r="D40" s="130"/>
      <c r="E40" s="131"/>
      <c r="F40" s="131"/>
      <c r="G40" s="132"/>
      <c r="H40" s="60" t="s">
        <v>58</v>
      </c>
      <c r="I40" s="25">
        <f>I39*0.16</f>
        <v>566.72</v>
      </c>
      <c r="J40" s="1">
        <f>J41/I41</f>
        <v>4.8426541599330202</v>
      </c>
      <c r="N40" s="1">
        <v>0</v>
      </c>
      <c r="O40" s="1">
        <v>0</v>
      </c>
    </row>
    <row r="41" spans="2:15" s="1" customFormat="1" ht="18.600000000000001" customHeight="1">
      <c r="B41" s="125"/>
      <c r="C41" s="126"/>
      <c r="D41" s="133"/>
      <c r="E41" s="134"/>
      <c r="F41" s="134"/>
      <c r="G41" s="135"/>
      <c r="H41" s="36" t="s">
        <v>59</v>
      </c>
      <c r="I41" s="37">
        <f>I39+I40</f>
        <v>4108.72</v>
      </c>
      <c r="J41" s="26">
        <v>19897.11</v>
      </c>
      <c r="K41" s="27"/>
      <c r="L41" s="27"/>
      <c r="N41" s="1">
        <v>53</v>
      </c>
      <c r="O41" s="1">
        <v>3312.5</v>
      </c>
    </row>
    <row r="42" spans="2:15">
      <c r="B42" s="83"/>
      <c r="C42" s="84"/>
      <c r="D42" s="84"/>
      <c r="E42" s="84"/>
      <c r="F42" s="84"/>
      <c r="G42" s="84"/>
      <c r="H42" s="84"/>
      <c r="I42" s="85"/>
      <c r="N42" s="13">
        <v>65</v>
      </c>
      <c r="O42" s="13">
        <v>121.55000000000001</v>
      </c>
    </row>
    <row r="43" spans="2:15" ht="18" customHeight="1">
      <c r="B43" s="118" t="s">
        <v>60</v>
      </c>
      <c r="C43" s="119"/>
      <c r="D43" s="119"/>
      <c r="E43" s="119"/>
      <c r="F43" s="119"/>
      <c r="G43" s="119"/>
      <c r="H43" s="119"/>
      <c r="I43" s="120"/>
      <c r="N43" s="13">
        <v>512</v>
      </c>
      <c r="O43" s="13">
        <v>762.88</v>
      </c>
    </row>
    <row r="44" spans="2:15" ht="74.25" customHeight="1">
      <c r="B44" s="102" t="s">
        <v>61</v>
      </c>
      <c r="C44" s="103"/>
      <c r="D44" s="104" t="s">
        <v>94</v>
      </c>
      <c r="E44" s="105"/>
      <c r="F44" s="105"/>
      <c r="G44" s="106"/>
      <c r="H44" s="107"/>
      <c r="I44" s="108"/>
      <c r="O44" s="13">
        <v>0</v>
      </c>
    </row>
    <row r="45" spans="2:15" ht="19.5" customHeight="1">
      <c r="B45" s="111" t="s">
        <v>63</v>
      </c>
      <c r="C45" s="112"/>
      <c r="D45" s="99" t="s">
        <v>64</v>
      </c>
      <c r="E45" s="100"/>
      <c r="F45" s="100"/>
      <c r="G45" s="101"/>
      <c r="H45" s="109"/>
      <c r="I45" s="110"/>
      <c r="O45" s="13">
        <v>0</v>
      </c>
    </row>
    <row r="46" spans="2:15" ht="25.5" customHeight="1">
      <c r="B46" s="102" t="s">
        <v>65</v>
      </c>
      <c r="C46" s="103"/>
      <c r="D46" s="99" t="s">
        <v>66</v>
      </c>
      <c r="E46" s="100"/>
      <c r="F46" s="100"/>
      <c r="G46" s="101"/>
      <c r="H46" s="113" t="s">
        <v>67</v>
      </c>
      <c r="I46" s="114"/>
      <c r="O46" s="13">
        <v>0</v>
      </c>
    </row>
    <row r="47" spans="2:15" ht="18" customHeight="1">
      <c r="B47" s="73" t="s">
        <v>68</v>
      </c>
      <c r="C47" s="74"/>
      <c r="D47" s="61" t="s">
        <v>84</v>
      </c>
      <c r="E47" s="86">
        <f>I41</f>
        <v>4108.72</v>
      </c>
      <c r="F47" s="87"/>
      <c r="G47" s="88"/>
      <c r="H47" s="89"/>
      <c r="I47" s="90"/>
      <c r="K47" s="13">
        <v>2500</v>
      </c>
      <c r="L47" s="13">
        <v>17.5</v>
      </c>
      <c r="M47" s="13">
        <f>K47/L47</f>
        <v>142.85714285714286</v>
      </c>
      <c r="O47" s="13">
        <v>0</v>
      </c>
    </row>
    <row r="48" spans="2:15" ht="33.75" customHeight="1">
      <c r="B48" s="95" t="s">
        <v>70</v>
      </c>
      <c r="C48" s="96"/>
      <c r="D48" s="35" t="s">
        <v>66</v>
      </c>
      <c r="E48" s="99" t="s">
        <v>72</v>
      </c>
      <c r="F48" s="100"/>
      <c r="G48" s="101"/>
      <c r="H48" s="91"/>
      <c r="I48" s="92"/>
      <c r="K48" s="13">
        <v>25</v>
      </c>
      <c r="L48" s="13">
        <v>4.05</v>
      </c>
      <c r="O48" s="13">
        <v>0</v>
      </c>
    </row>
    <row r="49" spans="2:15" ht="44.25" hidden="1" customHeight="1">
      <c r="B49" s="97"/>
      <c r="C49" s="98"/>
      <c r="D49" s="35" t="s">
        <v>73</v>
      </c>
      <c r="E49" s="99" t="s">
        <v>74</v>
      </c>
      <c r="F49" s="100"/>
      <c r="G49" s="101"/>
      <c r="H49" s="93"/>
      <c r="I49" s="94"/>
      <c r="O49" s="13">
        <v>0</v>
      </c>
    </row>
    <row r="50" spans="2:15" ht="21.6" customHeight="1">
      <c r="B50" s="73" t="s">
        <v>75</v>
      </c>
      <c r="C50" s="74"/>
      <c r="D50" s="75" t="s">
        <v>66</v>
      </c>
      <c r="E50" s="76"/>
      <c r="F50" s="76"/>
      <c r="G50" s="77"/>
      <c r="H50" s="78" t="s">
        <v>76</v>
      </c>
      <c r="I50" s="79"/>
      <c r="K50" s="13">
        <v>35.5</v>
      </c>
      <c r="L50" s="13">
        <f>(K50*L48)/K48</f>
        <v>5.7510000000000003</v>
      </c>
      <c r="O50" s="13">
        <v>0</v>
      </c>
    </row>
    <row r="51" spans="2:15" ht="32.1" hidden="1" customHeight="1">
      <c r="B51" s="73" t="s">
        <v>77</v>
      </c>
      <c r="C51" s="74"/>
      <c r="D51" s="80"/>
      <c r="E51" s="81"/>
      <c r="F51" s="81"/>
      <c r="G51" s="81"/>
      <c r="H51" s="81"/>
      <c r="I51" s="82"/>
      <c r="O51" s="13">
        <v>0</v>
      </c>
    </row>
    <row r="52" spans="2:15" ht="81.75" customHeight="1">
      <c r="B52" s="83"/>
      <c r="C52" s="84"/>
      <c r="D52" s="84"/>
      <c r="E52" s="84"/>
      <c r="F52" s="84"/>
      <c r="G52" s="84"/>
      <c r="H52" s="84"/>
      <c r="I52" s="85"/>
      <c r="O52" s="13">
        <v>0</v>
      </c>
    </row>
    <row r="53" spans="2:15" ht="18">
      <c r="B53" s="70" t="s">
        <v>78</v>
      </c>
      <c r="C53" s="71"/>
      <c r="D53" s="71"/>
      <c r="E53" s="71"/>
      <c r="F53" s="71"/>
      <c r="G53" s="71"/>
      <c r="H53" s="71"/>
      <c r="I53" s="72"/>
      <c r="O53" s="13">
        <v>0</v>
      </c>
    </row>
    <row r="54" spans="2:15" ht="18">
      <c r="B54" s="70" t="s">
        <v>79</v>
      </c>
      <c r="C54" s="71"/>
      <c r="D54" s="71"/>
      <c r="E54" s="71"/>
      <c r="F54" s="71"/>
      <c r="G54" s="71"/>
      <c r="H54" s="71"/>
      <c r="I54" s="72"/>
      <c r="N54" s="13">
        <v>68</v>
      </c>
      <c r="O54" s="13">
        <v>202.64</v>
      </c>
    </row>
    <row r="55" spans="2:15">
      <c r="O55" s="13">
        <v>0</v>
      </c>
    </row>
    <row r="56" spans="2:15">
      <c r="O56" s="13">
        <v>0</v>
      </c>
    </row>
    <row r="57" spans="2:15">
      <c r="O57" s="13">
        <v>0</v>
      </c>
    </row>
    <row r="58" spans="2:15">
      <c r="D58" s="12"/>
      <c r="O58" s="13">
        <v>0</v>
      </c>
    </row>
    <row r="59" spans="2:15">
      <c r="D59" s="12"/>
      <c r="O59" s="13">
        <v>0</v>
      </c>
    </row>
    <row r="60" spans="2:15">
      <c r="D60" s="12"/>
      <c r="O60" s="13">
        <v>0</v>
      </c>
    </row>
    <row r="61" spans="2:15">
      <c r="D61" s="12"/>
      <c r="O61" s="13">
        <v>0</v>
      </c>
    </row>
    <row r="62" spans="2:15">
      <c r="D62" s="12"/>
      <c r="O62" s="13">
        <v>0</v>
      </c>
    </row>
    <row r="63" spans="2:15">
      <c r="C63" s="29"/>
      <c r="D63" s="14"/>
      <c r="O63" s="13">
        <v>0</v>
      </c>
    </row>
    <row r="64" spans="2:15">
      <c r="D64" s="12"/>
      <c r="O64" s="13">
        <v>0</v>
      </c>
    </row>
    <row r="65" spans="4:15">
      <c r="D65" s="12"/>
      <c r="O65" s="13">
        <v>0</v>
      </c>
    </row>
    <row r="66" spans="4:15">
      <c r="O66" s="13">
        <v>0</v>
      </c>
    </row>
    <row r="67" spans="4:15">
      <c r="O67" s="13">
        <v>0</v>
      </c>
    </row>
    <row r="68" spans="4:15">
      <c r="O68" s="13">
        <v>0</v>
      </c>
    </row>
    <row r="69" spans="4:15">
      <c r="O69" s="13">
        <v>0</v>
      </c>
    </row>
    <row r="70" spans="4:15">
      <c r="O70" s="13">
        <v>7260.29</v>
      </c>
    </row>
  </sheetData>
  <mergeCells count="70">
    <mergeCell ref="B53:I53"/>
    <mergeCell ref="B54:I54"/>
    <mergeCell ref="B50:C50"/>
    <mergeCell ref="D50:G50"/>
    <mergeCell ref="H50:I50"/>
    <mergeCell ref="B51:C51"/>
    <mergeCell ref="D51:I51"/>
    <mergeCell ref="B52:I52"/>
    <mergeCell ref="B47:C47"/>
    <mergeCell ref="E47:G47"/>
    <mergeCell ref="H47:I49"/>
    <mergeCell ref="B48:C49"/>
    <mergeCell ref="E48:G48"/>
    <mergeCell ref="E49:G49"/>
    <mergeCell ref="B46:C46"/>
    <mergeCell ref="D46:G46"/>
    <mergeCell ref="H46:I46"/>
    <mergeCell ref="D36:G36"/>
    <mergeCell ref="B37:G37"/>
    <mergeCell ref="B38:C41"/>
    <mergeCell ref="D38:G41"/>
    <mergeCell ref="B42:I42"/>
    <mergeCell ref="B43:I43"/>
    <mergeCell ref="B44:C44"/>
    <mergeCell ref="D44:G44"/>
    <mergeCell ref="H44:I45"/>
    <mergeCell ref="B45:C45"/>
    <mergeCell ref="D45:G45"/>
    <mergeCell ref="B35:I35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B34:I34"/>
    <mergeCell ref="D23:G23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11:G11"/>
    <mergeCell ref="B4:C4"/>
    <mergeCell ref="D4:I4"/>
    <mergeCell ref="B5:C5"/>
    <mergeCell ref="D5:I5"/>
    <mergeCell ref="B6:C6"/>
    <mergeCell ref="D6:I6"/>
    <mergeCell ref="B7:C7"/>
    <mergeCell ref="D7:G7"/>
    <mergeCell ref="B8:I8"/>
    <mergeCell ref="B9:I9"/>
    <mergeCell ref="D10:G10"/>
    <mergeCell ref="B1:C1"/>
    <mergeCell ref="D1:G1"/>
    <mergeCell ref="H1:I1"/>
    <mergeCell ref="D2:G2"/>
    <mergeCell ref="B3:C3"/>
    <mergeCell ref="D3:I3"/>
  </mergeCells>
  <conditionalFormatting sqref="L9:L33">
    <cfRule type="expression" dxfId="3" priority="1" stopIfTrue="1">
      <formula>#REF!="Error"</formula>
    </cfRule>
  </conditionalFormatting>
  <conditionalFormatting sqref="L36">
    <cfRule type="expression" dxfId="2" priority="2" stopIfTrue="1">
      <formula>#REF!="Error"</formula>
    </cfRule>
  </conditionalFormatting>
  <pageMargins left="0.51181102362204722" right="0.31496062992125984" top="0.35433070866141736" bottom="0.35433070866141736" header="0.31496062992125984" footer="0.31496062992125984"/>
  <pageSetup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0AB4-9DF9-4366-82BC-AA98A3864FBD}">
  <dimension ref="A1:O70"/>
  <sheetViews>
    <sheetView tabSelected="1" topLeftCell="B4" zoomScaleNormal="100" zoomScaleSheetLayoutView="100" workbookViewId="0">
      <selection activeCell="B52" sqref="B52:I52"/>
    </sheetView>
  </sheetViews>
  <sheetFormatPr defaultColWidth="11.42578125" defaultRowHeight="12.75"/>
  <cols>
    <col min="1" max="1" width="2" style="13" hidden="1" customWidth="1"/>
    <col min="2" max="3" width="16.42578125" style="13" customWidth="1"/>
    <col min="4" max="4" width="15.7109375" style="13" customWidth="1"/>
    <col min="5" max="6" width="11.42578125" style="13"/>
    <col min="7" max="7" width="28.28515625" style="13" customWidth="1"/>
    <col min="8" max="8" width="18.140625" style="28" customWidth="1"/>
    <col min="9" max="9" width="19.42578125" style="28" customWidth="1"/>
    <col min="10" max="10" width="18.140625" style="13" customWidth="1"/>
    <col min="11" max="11" width="14.28515625" style="13" customWidth="1"/>
    <col min="12" max="12" width="11.7109375" style="13" customWidth="1"/>
    <col min="13" max="13" width="11.42578125" style="13"/>
    <col min="14" max="14" width="11.7109375" style="13" customWidth="1"/>
    <col min="15" max="16384" width="11.42578125" style="13"/>
  </cols>
  <sheetData>
    <row r="1" spans="2:15" ht="90.75" customHeight="1">
      <c r="B1" s="160"/>
      <c r="C1" s="160"/>
      <c r="D1" s="161" t="s">
        <v>0</v>
      </c>
      <c r="E1" s="161"/>
      <c r="F1" s="161"/>
      <c r="G1" s="161"/>
      <c r="H1" s="162" t="s">
        <v>1</v>
      </c>
      <c r="I1" s="162"/>
    </row>
    <row r="2" spans="2:15" ht="19.5" customHeight="1">
      <c r="B2" s="43" t="s">
        <v>2</v>
      </c>
      <c r="C2" s="44">
        <f ca="1">TODAY()</f>
        <v>46320</v>
      </c>
      <c r="D2" s="163"/>
      <c r="E2" s="163"/>
      <c r="F2" s="163"/>
      <c r="G2" s="163"/>
      <c r="H2" s="2" t="s">
        <v>3</v>
      </c>
      <c r="I2" s="2" t="s">
        <v>95</v>
      </c>
      <c r="K2" s="5"/>
    </row>
    <row r="3" spans="2:15" ht="15.95" customHeight="1">
      <c r="B3" s="151" t="s">
        <v>5</v>
      </c>
      <c r="C3" s="151"/>
      <c r="D3" s="152" t="s">
        <v>6</v>
      </c>
      <c r="E3" s="152"/>
      <c r="F3" s="152"/>
      <c r="G3" s="152"/>
      <c r="H3" s="152"/>
      <c r="I3" s="152"/>
      <c r="K3" s="5"/>
    </row>
    <row r="4" spans="2:15" ht="17.100000000000001" customHeight="1">
      <c r="B4" s="151" t="s">
        <v>7</v>
      </c>
      <c r="C4" s="151"/>
      <c r="D4" s="152" t="s">
        <v>96</v>
      </c>
      <c r="E4" s="152"/>
      <c r="F4" s="152"/>
      <c r="G4" s="152"/>
      <c r="H4" s="152"/>
      <c r="I4" s="152"/>
      <c r="K4" s="5"/>
    </row>
    <row r="5" spans="2:15" ht="15.6" customHeight="1">
      <c r="B5" s="78" t="s">
        <v>9</v>
      </c>
      <c r="C5" s="79"/>
      <c r="D5" s="156" t="s">
        <v>10</v>
      </c>
      <c r="E5" s="157"/>
      <c r="F5" s="157"/>
      <c r="G5" s="157"/>
      <c r="H5" s="157"/>
      <c r="I5" s="158"/>
      <c r="K5" s="5"/>
    </row>
    <row r="6" spans="2:15" ht="14.45" customHeight="1">
      <c r="B6" s="151" t="s">
        <v>11</v>
      </c>
      <c r="C6" s="151"/>
      <c r="D6" s="152" t="s">
        <v>12</v>
      </c>
      <c r="E6" s="152"/>
      <c r="F6" s="152"/>
      <c r="G6" s="152"/>
      <c r="H6" s="152"/>
      <c r="I6" s="159"/>
    </row>
    <row r="7" spans="2:15" ht="17.100000000000001" customHeight="1" thickBot="1">
      <c r="B7" s="151" t="s">
        <v>13</v>
      </c>
      <c r="C7" s="151"/>
      <c r="D7" s="152" t="s">
        <v>14</v>
      </c>
      <c r="E7" s="152"/>
      <c r="F7" s="152"/>
      <c r="G7" s="152"/>
      <c r="H7" s="68" t="s">
        <v>15</v>
      </c>
      <c r="I7" s="69" t="s">
        <v>16</v>
      </c>
      <c r="L7" s="42" t="e">
        <f>#REF!*#REF!</f>
        <v>#REF!</v>
      </c>
    </row>
    <row r="8" spans="2:15" ht="9.9499999999999993" customHeight="1">
      <c r="B8" s="153"/>
      <c r="C8" s="153"/>
      <c r="D8" s="153"/>
      <c r="E8" s="153"/>
      <c r="F8" s="153"/>
      <c r="G8" s="153"/>
      <c r="H8" s="153"/>
      <c r="I8" s="153"/>
    </row>
    <row r="9" spans="2:15" customFormat="1" ht="15.75" customHeight="1">
      <c r="B9" s="154" t="s">
        <v>17</v>
      </c>
      <c r="C9" s="154"/>
      <c r="D9" s="154"/>
      <c r="E9" s="154"/>
      <c r="F9" s="154"/>
      <c r="G9" s="154"/>
      <c r="H9" s="154"/>
      <c r="I9" s="154"/>
      <c r="K9" s="15"/>
      <c r="L9" s="16"/>
    </row>
    <row r="10" spans="2:15" s="6" customFormat="1" ht="15">
      <c r="B10" s="45" t="s">
        <v>18</v>
      </c>
      <c r="C10" s="46" t="s">
        <v>19</v>
      </c>
      <c r="D10" s="155" t="s">
        <v>20</v>
      </c>
      <c r="E10" s="155"/>
      <c r="F10" s="155"/>
      <c r="G10" s="155"/>
      <c r="H10" s="47" t="s">
        <v>21</v>
      </c>
      <c r="I10" s="47" t="s">
        <v>22</v>
      </c>
      <c r="J10" s="48"/>
      <c r="K10" s="15"/>
      <c r="L10" s="17"/>
      <c r="M10" s="48"/>
      <c r="N10" s="48"/>
      <c r="O10" s="48"/>
    </row>
    <row r="11" spans="2:15" s="40" customFormat="1" ht="15" hidden="1">
      <c r="B11" s="62">
        <v>0</v>
      </c>
      <c r="C11" s="63" t="s">
        <v>23</v>
      </c>
      <c r="D11" s="147" t="s">
        <v>24</v>
      </c>
      <c r="E11" s="147"/>
      <c r="F11" s="147"/>
      <c r="G11" s="147"/>
      <c r="H11" s="52">
        <f>(6.5*380)</f>
        <v>2470</v>
      </c>
      <c r="I11" s="52">
        <f t="shared" ref="I11:I20" si="0">H11*B11</f>
        <v>0</v>
      </c>
      <c r="J11" s="41"/>
      <c r="K11" s="38"/>
      <c r="L11" s="39"/>
      <c r="M11" s="49">
        <v>1050</v>
      </c>
      <c r="N11" s="50">
        <v>20</v>
      </c>
      <c r="O11" s="49">
        <f>M11/N11</f>
        <v>52.5</v>
      </c>
    </row>
    <row r="12" spans="2:15" s="40" customFormat="1" ht="15" hidden="1">
      <c r="B12" s="62">
        <v>0</v>
      </c>
      <c r="C12" s="63" t="s">
        <v>23</v>
      </c>
      <c r="D12" s="147" t="s">
        <v>25</v>
      </c>
      <c r="E12" s="147"/>
      <c r="F12" s="147"/>
      <c r="G12" s="147"/>
      <c r="H12" s="52">
        <v>4500</v>
      </c>
      <c r="I12" s="52">
        <f t="shared" si="0"/>
        <v>0</v>
      </c>
      <c r="J12" s="41"/>
      <c r="K12" s="38"/>
      <c r="L12" s="39"/>
      <c r="M12" s="49"/>
      <c r="N12" s="50"/>
      <c r="O12" s="50"/>
    </row>
    <row r="13" spans="2:15" s="40" customFormat="1" ht="15" hidden="1">
      <c r="B13" s="62">
        <v>0</v>
      </c>
      <c r="C13" s="63" t="s">
        <v>23</v>
      </c>
      <c r="D13" s="147" t="s">
        <v>26</v>
      </c>
      <c r="E13" s="147"/>
      <c r="F13" s="147"/>
      <c r="G13" s="147"/>
      <c r="H13" s="52">
        <f>91*45</f>
        <v>4095</v>
      </c>
      <c r="I13" s="52">
        <f t="shared" si="0"/>
        <v>0</v>
      </c>
      <c r="J13" s="41"/>
      <c r="K13" s="38"/>
      <c r="L13" s="39"/>
      <c r="M13" s="49"/>
      <c r="N13" s="50"/>
      <c r="O13" s="50"/>
    </row>
    <row r="14" spans="2:15" s="40" customFormat="1" ht="15" hidden="1">
      <c r="B14" s="62">
        <v>0</v>
      </c>
      <c r="C14" s="63" t="s">
        <v>23</v>
      </c>
      <c r="D14" s="147" t="s">
        <v>27</v>
      </c>
      <c r="E14" s="147"/>
      <c r="F14" s="147"/>
      <c r="G14" s="147"/>
      <c r="H14" s="52">
        <f>(36.8*280)</f>
        <v>10304</v>
      </c>
      <c r="I14" s="52">
        <f t="shared" si="0"/>
        <v>0</v>
      </c>
      <c r="J14" s="41"/>
      <c r="K14" s="38"/>
      <c r="L14" s="39"/>
      <c r="M14" s="49">
        <v>63</v>
      </c>
      <c r="N14" s="50"/>
      <c r="O14" s="50"/>
    </row>
    <row r="15" spans="2:15" s="40" customFormat="1" ht="15" hidden="1">
      <c r="B15" s="62">
        <v>0</v>
      </c>
      <c r="C15" s="63" t="s">
        <v>23</v>
      </c>
      <c r="D15" s="136" t="s">
        <v>28</v>
      </c>
      <c r="E15" s="136"/>
      <c r="F15" s="136"/>
      <c r="G15" s="136"/>
      <c r="H15" s="52">
        <v>250</v>
      </c>
      <c r="I15" s="52">
        <f t="shared" si="0"/>
        <v>0</v>
      </c>
      <c r="J15" s="41"/>
      <c r="K15" s="38"/>
      <c r="L15" s="39"/>
      <c r="M15" s="49"/>
      <c r="N15" s="50"/>
      <c r="O15" s="50"/>
    </row>
    <row r="16" spans="2:15" s="40" customFormat="1" ht="15" hidden="1">
      <c r="B16" s="62">
        <v>0</v>
      </c>
      <c r="C16" s="63" t="s">
        <v>23</v>
      </c>
      <c r="D16" s="136" t="s">
        <v>29</v>
      </c>
      <c r="E16" s="136"/>
      <c r="F16" s="136"/>
      <c r="G16" s="136"/>
      <c r="H16" s="52">
        <f>(3*280)</f>
        <v>840</v>
      </c>
      <c r="I16" s="52">
        <f t="shared" si="0"/>
        <v>0</v>
      </c>
      <c r="J16" s="41"/>
      <c r="K16" s="38"/>
      <c r="L16" s="39"/>
      <c r="M16" s="49"/>
      <c r="N16" s="50"/>
      <c r="O16" s="50"/>
    </row>
    <row r="17" spans="2:15" s="40" customFormat="1" ht="15" hidden="1">
      <c r="B17" s="51">
        <v>0</v>
      </c>
      <c r="C17" s="30" t="s">
        <v>30</v>
      </c>
      <c r="D17" s="148" t="s">
        <v>31</v>
      </c>
      <c r="E17" s="149"/>
      <c r="F17" s="149"/>
      <c r="G17" s="150"/>
      <c r="H17" s="52">
        <v>95</v>
      </c>
      <c r="I17" s="52">
        <f t="shared" si="0"/>
        <v>0</v>
      </c>
      <c r="J17" s="41"/>
      <c r="K17" s="38"/>
      <c r="L17" s="39"/>
      <c r="M17" s="49"/>
      <c r="N17" s="50"/>
      <c r="O17" s="50"/>
    </row>
    <row r="18" spans="2:15" s="40" customFormat="1" ht="15">
      <c r="B18" s="51">
        <v>59</v>
      </c>
      <c r="C18" s="30" t="s">
        <v>32</v>
      </c>
      <c r="D18" s="137" t="s">
        <v>96</v>
      </c>
      <c r="E18" s="138"/>
      <c r="F18" s="138"/>
      <c r="G18" s="139"/>
      <c r="H18" s="52">
        <v>25.88</v>
      </c>
      <c r="I18" s="53">
        <f t="shared" si="0"/>
        <v>1526.9199999999998</v>
      </c>
      <c r="J18" s="41"/>
      <c r="K18" s="38"/>
      <c r="L18" s="39"/>
      <c r="M18" s="49"/>
      <c r="N18" s="50"/>
      <c r="O18" s="50"/>
    </row>
    <row r="19" spans="2:15" s="19" customFormat="1" ht="15" hidden="1">
      <c r="B19" s="51">
        <v>2300</v>
      </c>
      <c r="C19" s="30" t="s">
        <v>32</v>
      </c>
      <c r="D19" s="137" t="s">
        <v>34</v>
      </c>
      <c r="E19" s="138"/>
      <c r="F19" s="138"/>
      <c r="G19" s="139"/>
      <c r="H19" s="52">
        <v>0.56000000000000005</v>
      </c>
      <c r="I19" s="53">
        <f t="shared" si="0"/>
        <v>1288.0000000000002</v>
      </c>
      <c r="J19" s="54"/>
      <c r="K19" s="7"/>
      <c r="L19" s="18"/>
      <c r="M19" s="55"/>
      <c r="N19" s="56"/>
      <c r="O19" s="56"/>
    </row>
    <row r="20" spans="2:15" s="19" customFormat="1" ht="15" hidden="1">
      <c r="B20" s="51"/>
      <c r="C20" s="30"/>
      <c r="D20" s="137" t="s">
        <v>35</v>
      </c>
      <c r="E20" s="138"/>
      <c r="F20" s="138"/>
      <c r="G20" s="139"/>
      <c r="H20" s="52">
        <v>1.92</v>
      </c>
      <c r="I20" s="53">
        <f t="shared" si="0"/>
        <v>0</v>
      </c>
      <c r="J20" s="54"/>
      <c r="K20" s="7"/>
      <c r="L20" s="18"/>
      <c r="M20" s="55"/>
      <c r="N20" s="56"/>
      <c r="O20" s="56"/>
    </row>
    <row r="21" spans="2:15" s="19" customFormat="1" ht="15" hidden="1">
      <c r="B21" s="51"/>
      <c r="C21" s="30"/>
      <c r="D21" s="136" t="s">
        <v>36</v>
      </c>
      <c r="E21" s="136"/>
      <c r="F21" s="136"/>
      <c r="G21" s="136"/>
      <c r="H21" s="52">
        <v>4.72</v>
      </c>
      <c r="I21" s="53">
        <f>H21*B21</f>
        <v>0</v>
      </c>
      <c r="J21" s="57">
        <f>H21*J40</f>
        <v>53.022197942759689</v>
      </c>
      <c r="K21" s="7">
        <f>H21*B21</f>
        <v>0</v>
      </c>
      <c r="L21" s="18"/>
      <c r="M21" s="55"/>
      <c r="N21" s="56"/>
      <c r="O21" s="56"/>
    </row>
    <row r="22" spans="2:15" s="19" customFormat="1" ht="15" hidden="1">
      <c r="B22" s="51"/>
      <c r="C22" s="30" t="s">
        <v>32</v>
      </c>
      <c r="D22" s="136" t="s">
        <v>37</v>
      </c>
      <c r="E22" s="136"/>
      <c r="F22" s="136"/>
      <c r="G22" s="136"/>
      <c r="H22" s="52">
        <v>62.5</v>
      </c>
      <c r="I22" s="53">
        <f t="shared" ref="I22:I29" si="1">H22*B22</f>
        <v>0</v>
      </c>
      <c r="J22" s="54"/>
      <c r="K22" s="31"/>
      <c r="L22" s="32"/>
      <c r="M22" s="33"/>
      <c r="N22" s="34"/>
      <c r="O22" s="34"/>
    </row>
    <row r="23" spans="2:15" s="19" customFormat="1" ht="15" hidden="1">
      <c r="B23" s="51"/>
      <c r="C23" s="30" t="s">
        <v>32</v>
      </c>
      <c r="D23" s="137" t="s">
        <v>38</v>
      </c>
      <c r="E23" s="138"/>
      <c r="F23" s="138"/>
      <c r="G23" s="139"/>
      <c r="H23" s="52">
        <v>49</v>
      </c>
      <c r="I23" s="53">
        <f t="shared" si="1"/>
        <v>0</v>
      </c>
      <c r="J23" s="54"/>
      <c r="K23" s="31">
        <v>667.83</v>
      </c>
      <c r="L23" s="32">
        <f>K23*1.45</f>
        <v>968.35350000000005</v>
      </c>
      <c r="M23" s="33">
        <f>L23/20</f>
        <v>48.417675000000003</v>
      </c>
      <c r="N23" s="34"/>
      <c r="O23" s="34"/>
    </row>
    <row r="24" spans="2:15" s="19" customFormat="1" ht="15" hidden="1">
      <c r="B24" s="51"/>
      <c r="C24" s="30" t="s">
        <v>32</v>
      </c>
      <c r="D24" s="137" t="s">
        <v>39</v>
      </c>
      <c r="E24" s="138"/>
      <c r="F24" s="138"/>
      <c r="G24" s="139"/>
      <c r="H24" s="52">
        <v>56</v>
      </c>
      <c r="I24" s="53">
        <f t="shared" si="1"/>
        <v>0</v>
      </c>
      <c r="J24" s="54"/>
      <c r="K24" s="31">
        <v>763.23</v>
      </c>
      <c r="L24" s="32">
        <f t="shared" ref="L24:L29" si="2">K24*1.45</f>
        <v>1106.6835000000001</v>
      </c>
      <c r="M24" s="33">
        <f t="shared" ref="M24:M29" si="3">L24/20</f>
        <v>55.334175000000002</v>
      </c>
      <c r="N24" s="34"/>
      <c r="O24" s="34"/>
    </row>
    <row r="25" spans="2:15" s="19" customFormat="1" ht="15" hidden="1">
      <c r="B25" s="51"/>
      <c r="C25" s="30" t="s">
        <v>32</v>
      </c>
      <c r="D25" s="137" t="s">
        <v>40</v>
      </c>
      <c r="E25" s="138"/>
      <c r="F25" s="138"/>
      <c r="G25" s="139"/>
      <c r="H25" s="52">
        <v>28</v>
      </c>
      <c r="I25" s="53">
        <f t="shared" si="1"/>
        <v>0</v>
      </c>
      <c r="J25" s="54"/>
      <c r="K25" s="31">
        <v>381.62</v>
      </c>
      <c r="L25" s="32">
        <f t="shared" si="2"/>
        <v>553.34900000000005</v>
      </c>
      <c r="M25" s="33">
        <f t="shared" si="3"/>
        <v>27.667450000000002</v>
      </c>
      <c r="N25" s="34"/>
      <c r="O25" s="34"/>
    </row>
    <row r="26" spans="2:15" s="19" customFormat="1" ht="15" hidden="1">
      <c r="B26" s="51"/>
      <c r="C26" s="30" t="s">
        <v>32</v>
      </c>
      <c r="D26" s="137" t="s">
        <v>41</v>
      </c>
      <c r="E26" s="138"/>
      <c r="F26" s="138"/>
      <c r="G26" s="139"/>
      <c r="H26" s="52">
        <f>M26</f>
        <v>279.19437499999998</v>
      </c>
      <c r="I26" s="53">
        <f t="shared" si="1"/>
        <v>0</v>
      </c>
      <c r="J26" s="54"/>
      <c r="K26" s="31">
        <v>4467.1099999999997</v>
      </c>
      <c r="L26" s="32">
        <f>K26*1.25</f>
        <v>5583.8874999999998</v>
      </c>
      <c r="M26" s="33">
        <f t="shared" si="3"/>
        <v>279.19437499999998</v>
      </c>
      <c r="N26" s="34"/>
      <c r="O26" s="34"/>
    </row>
    <row r="27" spans="2:15" s="19" customFormat="1" ht="15" hidden="1">
      <c r="B27" s="51"/>
      <c r="C27" s="30" t="s">
        <v>32</v>
      </c>
      <c r="D27" s="137" t="s">
        <v>42</v>
      </c>
      <c r="E27" s="138"/>
      <c r="F27" s="138"/>
      <c r="G27" s="139"/>
      <c r="H27" s="52">
        <f t="shared" ref="H27:H29" si="4">M27</f>
        <v>200.29124999999999</v>
      </c>
      <c r="I27" s="53">
        <f t="shared" si="1"/>
        <v>0</v>
      </c>
      <c r="J27" s="54"/>
      <c r="K27" s="31">
        <v>3204.66</v>
      </c>
      <c r="L27" s="32">
        <f t="shared" ref="L27:L28" si="5">K27*1.25</f>
        <v>4005.8249999999998</v>
      </c>
      <c r="M27" s="33">
        <f t="shared" si="3"/>
        <v>200.29124999999999</v>
      </c>
      <c r="N27" s="34"/>
      <c r="O27" s="34"/>
    </row>
    <row r="28" spans="2:15" s="19" customFormat="1" ht="15" hidden="1">
      <c r="B28" s="51"/>
      <c r="C28" s="30" t="s">
        <v>32</v>
      </c>
      <c r="D28" s="137" t="s">
        <v>43</v>
      </c>
      <c r="E28" s="138"/>
      <c r="F28" s="138"/>
      <c r="G28" s="139"/>
      <c r="H28" s="52">
        <f t="shared" si="4"/>
        <v>97.110624999999999</v>
      </c>
      <c r="I28" s="53">
        <f t="shared" si="1"/>
        <v>0</v>
      </c>
      <c r="J28" s="54"/>
      <c r="K28" s="31">
        <v>1553.77</v>
      </c>
      <c r="L28" s="32">
        <f t="shared" si="5"/>
        <v>1942.2125000000001</v>
      </c>
      <c r="M28" s="33">
        <f t="shared" si="3"/>
        <v>97.110624999999999</v>
      </c>
      <c r="N28" s="34"/>
      <c r="O28" s="34"/>
    </row>
    <row r="29" spans="2:15" s="19" customFormat="1" ht="15" hidden="1">
      <c r="B29" s="51"/>
      <c r="C29" s="30" t="s">
        <v>32</v>
      </c>
      <c r="D29" s="144" t="s">
        <v>44</v>
      </c>
      <c r="E29" s="145"/>
      <c r="F29" s="145"/>
      <c r="G29" s="146"/>
      <c r="H29" s="52">
        <f t="shared" si="4"/>
        <v>131.80500000000001</v>
      </c>
      <c r="I29" s="53">
        <f t="shared" si="1"/>
        <v>0</v>
      </c>
      <c r="J29" s="54"/>
      <c r="K29" s="31">
        <v>1818</v>
      </c>
      <c r="L29" s="32">
        <f t="shared" si="2"/>
        <v>2636.1</v>
      </c>
      <c r="M29" s="33">
        <f t="shared" si="3"/>
        <v>131.80500000000001</v>
      </c>
      <c r="N29" s="34"/>
      <c r="O29" s="34"/>
    </row>
    <row r="30" spans="2:15" s="19" customFormat="1" ht="15" hidden="1">
      <c r="B30" s="4"/>
      <c r="C30" s="30" t="s">
        <v>32</v>
      </c>
      <c r="D30" s="136" t="s">
        <v>45</v>
      </c>
      <c r="E30" s="136"/>
      <c r="F30" s="136"/>
      <c r="G30" s="136"/>
      <c r="H30" s="52">
        <v>0</v>
      </c>
      <c r="I30" s="53">
        <f>H30*B30</f>
        <v>0</v>
      </c>
      <c r="J30" s="54"/>
      <c r="K30" s="7"/>
      <c r="L30" s="18"/>
      <c r="M30" s="55"/>
      <c r="N30" s="56"/>
      <c r="O30" s="56"/>
    </row>
    <row r="31" spans="2:15" s="19" customFormat="1" ht="15" hidden="1">
      <c r="B31" s="4"/>
      <c r="C31" s="30" t="s">
        <v>32</v>
      </c>
      <c r="D31" s="136" t="s">
        <v>46</v>
      </c>
      <c r="E31" s="136"/>
      <c r="F31" s="136"/>
      <c r="G31" s="136"/>
      <c r="H31" s="52">
        <v>0</v>
      </c>
      <c r="I31" s="53">
        <f>H31*B31</f>
        <v>0</v>
      </c>
      <c r="J31" s="54"/>
      <c r="K31" s="7"/>
      <c r="L31" s="18"/>
      <c r="M31" s="55"/>
      <c r="N31" s="56"/>
      <c r="O31" s="56"/>
    </row>
    <row r="32" spans="2:15" s="19" customFormat="1" ht="15" hidden="1">
      <c r="B32" s="4"/>
      <c r="C32" s="30" t="s">
        <v>23</v>
      </c>
      <c r="D32" s="137" t="s">
        <v>47</v>
      </c>
      <c r="E32" s="138"/>
      <c r="F32" s="138"/>
      <c r="G32" s="139"/>
      <c r="H32" s="52">
        <v>80</v>
      </c>
      <c r="I32" s="53">
        <f>H32*B32</f>
        <v>0</v>
      </c>
      <c r="J32" s="54"/>
      <c r="K32" s="7"/>
      <c r="L32" s="18"/>
      <c r="M32" s="55"/>
      <c r="N32" s="56"/>
      <c r="O32" s="56"/>
    </row>
    <row r="33" spans="2:15" s="10" customFormat="1" ht="15.75">
      <c r="B33" s="64"/>
      <c r="C33" s="65" t="s">
        <v>48</v>
      </c>
      <c r="D33" s="140" t="s">
        <v>49</v>
      </c>
      <c r="E33" s="140"/>
      <c r="F33" s="140"/>
      <c r="G33" s="140"/>
      <c r="H33" s="66" t="s">
        <v>50</v>
      </c>
      <c r="I33" s="67">
        <f>I18</f>
        <v>1526.9199999999998</v>
      </c>
      <c r="J33" s="8"/>
      <c r="K33" s="9"/>
      <c r="L33" s="20"/>
      <c r="M33" s="10">
        <f>O33*N33</f>
        <v>264</v>
      </c>
      <c r="N33" s="10">
        <v>6</v>
      </c>
      <c r="O33" s="10">
        <v>44</v>
      </c>
    </row>
    <row r="34" spans="2:15" customFormat="1" ht="6.6" customHeight="1">
      <c r="B34" s="141"/>
      <c r="C34" s="142"/>
      <c r="D34" s="142"/>
      <c r="E34" s="142"/>
      <c r="F34" s="142"/>
      <c r="G34" s="142"/>
      <c r="H34" s="142"/>
      <c r="I34" s="143"/>
      <c r="J34" s="11"/>
      <c r="N34">
        <v>4</v>
      </c>
    </row>
    <row r="35" spans="2:15" customFormat="1" ht="8.1" customHeight="1">
      <c r="B35" s="141"/>
      <c r="C35" s="142"/>
      <c r="D35" s="142"/>
      <c r="E35" s="142"/>
      <c r="F35" s="142"/>
      <c r="G35" s="142"/>
      <c r="H35" s="142"/>
      <c r="I35" s="143"/>
      <c r="J35" s="11"/>
    </row>
    <row r="36" spans="2:15" customFormat="1" ht="17.45" customHeight="1">
      <c r="B36" s="21" t="s">
        <v>48</v>
      </c>
      <c r="C36" s="22"/>
      <c r="D36" s="115"/>
      <c r="E36" s="116"/>
      <c r="F36" s="116"/>
      <c r="G36" s="117"/>
      <c r="H36" s="59" t="s">
        <v>51</v>
      </c>
      <c r="I36" s="58">
        <f>I33</f>
        <v>1526.9199999999998</v>
      </c>
      <c r="K36" s="15"/>
      <c r="L36" s="16"/>
    </row>
    <row r="37" spans="2:15" s="1" customFormat="1" ht="16.5" customHeight="1">
      <c r="B37" s="118" t="s">
        <v>52</v>
      </c>
      <c r="C37" s="119"/>
      <c r="D37" s="119"/>
      <c r="E37" s="119"/>
      <c r="F37" s="119"/>
      <c r="G37" s="120"/>
      <c r="H37" s="36" t="s">
        <v>53</v>
      </c>
      <c r="I37" s="23">
        <f>I36</f>
        <v>1526.9199999999998</v>
      </c>
      <c r="K37" s="24"/>
      <c r="N37" s="1">
        <v>1876</v>
      </c>
      <c r="O37" s="1">
        <v>1763.4399999999998</v>
      </c>
    </row>
    <row r="38" spans="2:15" s="1" customFormat="1" ht="17.100000000000001" customHeight="1">
      <c r="B38" s="121" t="s">
        <v>54</v>
      </c>
      <c r="C38" s="122"/>
      <c r="D38" s="127" t="s">
        <v>97</v>
      </c>
      <c r="E38" s="128"/>
      <c r="F38" s="128"/>
      <c r="G38" s="129"/>
      <c r="H38" s="60" t="s">
        <v>56</v>
      </c>
      <c r="I38" s="25"/>
      <c r="J38" s="3"/>
      <c r="K38" s="24">
        <v>17.5</v>
      </c>
      <c r="L38" s="1">
        <f>J38/K38</f>
        <v>0</v>
      </c>
      <c r="N38" s="1">
        <v>2032</v>
      </c>
      <c r="O38" s="1">
        <v>1097.28</v>
      </c>
    </row>
    <row r="39" spans="2:15" s="1" customFormat="1" ht="18.600000000000001" customHeight="1">
      <c r="B39" s="123"/>
      <c r="C39" s="124"/>
      <c r="D39" s="130"/>
      <c r="E39" s="131"/>
      <c r="F39" s="131"/>
      <c r="G39" s="132"/>
      <c r="H39" s="36" t="s">
        <v>57</v>
      </c>
      <c r="I39" s="23">
        <f>I37+I38</f>
        <v>1526.9199999999998</v>
      </c>
      <c r="N39" s="1">
        <v>0</v>
      </c>
      <c r="O39" s="1">
        <v>0</v>
      </c>
    </row>
    <row r="40" spans="2:15" s="1" customFormat="1" ht="16.5" customHeight="1">
      <c r="B40" s="123"/>
      <c r="C40" s="124"/>
      <c r="D40" s="130"/>
      <c r="E40" s="131"/>
      <c r="F40" s="131"/>
      <c r="G40" s="132"/>
      <c r="H40" s="60" t="s">
        <v>58</v>
      </c>
      <c r="I40" s="25">
        <f>I39*0.16</f>
        <v>244.30719999999997</v>
      </c>
      <c r="J40" s="1">
        <f>J41/I41</f>
        <v>11.233516513296545</v>
      </c>
      <c r="N40" s="1">
        <v>0</v>
      </c>
      <c r="O40" s="1">
        <v>0</v>
      </c>
    </row>
    <row r="41" spans="2:15" s="1" customFormat="1" ht="18.600000000000001" customHeight="1">
      <c r="B41" s="125"/>
      <c r="C41" s="126"/>
      <c r="D41" s="133"/>
      <c r="E41" s="134"/>
      <c r="F41" s="134"/>
      <c r="G41" s="135"/>
      <c r="H41" s="36" t="s">
        <v>59</v>
      </c>
      <c r="I41" s="37">
        <f>I39+I40</f>
        <v>1771.2271999999998</v>
      </c>
      <c r="J41" s="26">
        <v>19897.11</v>
      </c>
      <c r="K41" s="27"/>
      <c r="L41" s="27"/>
      <c r="N41" s="1">
        <v>53</v>
      </c>
      <c r="O41" s="1">
        <v>3312.5</v>
      </c>
    </row>
    <row r="42" spans="2:15">
      <c r="B42" s="83"/>
      <c r="C42" s="84"/>
      <c r="D42" s="84"/>
      <c r="E42" s="84"/>
      <c r="F42" s="84"/>
      <c r="G42" s="84"/>
      <c r="H42" s="84"/>
      <c r="I42" s="85"/>
      <c r="N42" s="13">
        <v>65</v>
      </c>
      <c r="O42" s="13">
        <v>121.55000000000001</v>
      </c>
    </row>
    <row r="43" spans="2:15" ht="18" customHeight="1">
      <c r="B43" s="118" t="s">
        <v>60</v>
      </c>
      <c r="C43" s="119"/>
      <c r="D43" s="119"/>
      <c r="E43" s="119"/>
      <c r="F43" s="119"/>
      <c r="G43" s="119"/>
      <c r="H43" s="119"/>
      <c r="I43" s="120"/>
      <c r="N43" s="13">
        <v>512</v>
      </c>
      <c r="O43" s="13">
        <v>762.88</v>
      </c>
    </row>
    <row r="44" spans="2:15" ht="74.25" customHeight="1">
      <c r="B44" s="102" t="s">
        <v>61</v>
      </c>
      <c r="C44" s="103"/>
      <c r="D44" s="104" t="s">
        <v>98</v>
      </c>
      <c r="E44" s="105"/>
      <c r="F44" s="105"/>
      <c r="G44" s="106"/>
      <c r="H44" s="107"/>
      <c r="I44" s="108"/>
      <c r="O44" s="13">
        <v>0</v>
      </c>
    </row>
    <row r="45" spans="2:15" ht="19.5" customHeight="1">
      <c r="B45" s="111" t="s">
        <v>63</v>
      </c>
      <c r="C45" s="112"/>
      <c r="D45" s="99" t="s">
        <v>64</v>
      </c>
      <c r="E45" s="100"/>
      <c r="F45" s="100"/>
      <c r="G45" s="101"/>
      <c r="H45" s="109"/>
      <c r="I45" s="110"/>
      <c r="O45" s="13">
        <v>0</v>
      </c>
    </row>
    <row r="46" spans="2:15" ht="25.5" customHeight="1">
      <c r="B46" s="102" t="s">
        <v>65</v>
      </c>
      <c r="C46" s="103"/>
      <c r="D46" s="99" t="s">
        <v>66</v>
      </c>
      <c r="E46" s="100"/>
      <c r="F46" s="100"/>
      <c r="G46" s="101"/>
      <c r="H46" s="113" t="s">
        <v>67</v>
      </c>
      <c r="I46" s="114"/>
      <c r="O46" s="13">
        <v>0</v>
      </c>
    </row>
    <row r="47" spans="2:15" ht="18" customHeight="1">
      <c r="B47" s="73" t="s">
        <v>68</v>
      </c>
      <c r="C47" s="74"/>
      <c r="D47" s="61" t="s">
        <v>84</v>
      </c>
      <c r="E47" s="86">
        <f>I41</f>
        <v>1771.2271999999998</v>
      </c>
      <c r="F47" s="87"/>
      <c r="G47" s="88"/>
      <c r="H47" s="89"/>
      <c r="I47" s="90"/>
      <c r="K47" s="13">
        <v>2500</v>
      </c>
      <c r="L47" s="13">
        <v>17.5</v>
      </c>
      <c r="M47" s="13">
        <f>K47/L47</f>
        <v>142.85714285714286</v>
      </c>
      <c r="O47" s="13">
        <v>0</v>
      </c>
    </row>
    <row r="48" spans="2:15" ht="33.75" customHeight="1">
      <c r="B48" s="95" t="s">
        <v>70</v>
      </c>
      <c r="C48" s="96"/>
      <c r="D48" s="35" t="s">
        <v>66</v>
      </c>
      <c r="E48" s="99" t="s">
        <v>72</v>
      </c>
      <c r="F48" s="100"/>
      <c r="G48" s="101"/>
      <c r="H48" s="91"/>
      <c r="I48" s="92"/>
      <c r="K48" s="13">
        <v>25</v>
      </c>
      <c r="L48" s="13">
        <v>4.05</v>
      </c>
      <c r="O48" s="13">
        <v>0</v>
      </c>
    </row>
    <row r="49" spans="2:15" ht="44.25" hidden="1" customHeight="1">
      <c r="B49" s="97"/>
      <c r="C49" s="98"/>
      <c r="D49" s="35" t="s">
        <v>73</v>
      </c>
      <c r="E49" s="99" t="s">
        <v>74</v>
      </c>
      <c r="F49" s="100"/>
      <c r="G49" s="101"/>
      <c r="H49" s="93"/>
      <c r="I49" s="94"/>
      <c r="O49" s="13">
        <v>0</v>
      </c>
    </row>
    <row r="50" spans="2:15" ht="21.6" customHeight="1">
      <c r="B50" s="73" t="s">
        <v>75</v>
      </c>
      <c r="C50" s="74"/>
      <c r="D50" s="75" t="s">
        <v>66</v>
      </c>
      <c r="E50" s="76"/>
      <c r="F50" s="76"/>
      <c r="G50" s="77"/>
      <c r="H50" s="78" t="s">
        <v>76</v>
      </c>
      <c r="I50" s="79"/>
      <c r="K50" s="13">
        <v>35.5</v>
      </c>
      <c r="L50" s="13">
        <f>(K50*L48)/K48</f>
        <v>5.7510000000000003</v>
      </c>
      <c r="O50" s="13">
        <v>0</v>
      </c>
    </row>
    <row r="51" spans="2:15" ht="32.1" hidden="1" customHeight="1">
      <c r="B51" s="73" t="s">
        <v>77</v>
      </c>
      <c r="C51" s="74"/>
      <c r="D51" s="80"/>
      <c r="E51" s="81"/>
      <c r="F51" s="81"/>
      <c r="G51" s="81"/>
      <c r="H51" s="81"/>
      <c r="I51" s="82"/>
      <c r="O51" s="13">
        <v>0</v>
      </c>
    </row>
    <row r="52" spans="2:15" ht="81.75" customHeight="1">
      <c r="B52" s="83"/>
      <c r="C52" s="84"/>
      <c r="D52" s="84"/>
      <c r="E52" s="84"/>
      <c r="F52" s="84"/>
      <c r="G52" s="84"/>
      <c r="H52" s="84"/>
      <c r="I52" s="85"/>
      <c r="O52" s="13">
        <v>0</v>
      </c>
    </row>
    <row r="53" spans="2:15" ht="18">
      <c r="B53" s="70" t="s">
        <v>78</v>
      </c>
      <c r="C53" s="71"/>
      <c r="D53" s="71"/>
      <c r="E53" s="71"/>
      <c r="F53" s="71"/>
      <c r="G53" s="71"/>
      <c r="H53" s="71"/>
      <c r="I53" s="72"/>
      <c r="O53" s="13">
        <v>0</v>
      </c>
    </row>
    <row r="54" spans="2:15" ht="18">
      <c r="B54" s="70" t="s">
        <v>79</v>
      </c>
      <c r="C54" s="71"/>
      <c r="D54" s="71"/>
      <c r="E54" s="71"/>
      <c r="F54" s="71"/>
      <c r="G54" s="71"/>
      <c r="H54" s="71"/>
      <c r="I54" s="72"/>
      <c r="N54" s="13">
        <v>68</v>
      </c>
      <c r="O54" s="13">
        <v>202.64</v>
      </c>
    </row>
    <row r="55" spans="2:15">
      <c r="O55" s="13">
        <v>0</v>
      </c>
    </row>
    <row r="56" spans="2:15">
      <c r="O56" s="13">
        <v>0</v>
      </c>
    </row>
    <row r="57" spans="2:15">
      <c r="O57" s="13">
        <v>0</v>
      </c>
    </row>
    <row r="58" spans="2:15">
      <c r="D58" s="12"/>
      <c r="O58" s="13">
        <v>0</v>
      </c>
    </row>
    <row r="59" spans="2:15">
      <c r="D59" s="12"/>
      <c r="O59" s="13">
        <v>0</v>
      </c>
    </row>
    <row r="60" spans="2:15">
      <c r="D60" s="12"/>
      <c r="O60" s="13">
        <v>0</v>
      </c>
    </row>
    <row r="61" spans="2:15">
      <c r="D61" s="12"/>
      <c r="O61" s="13">
        <v>0</v>
      </c>
    </row>
    <row r="62" spans="2:15">
      <c r="D62" s="12"/>
      <c r="O62" s="13">
        <v>0</v>
      </c>
    </row>
    <row r="63" spans="2:15">
      <c r="C63" s="29"/>
      <c r="D63" s="14"/>
      <c r="O63" s="13">
        <v>0</v>
      </c>
    </row>
    <row r="64" spans="2:15">
      <c r="D64" s="12"/>
      <c r="O64" s="13">
        <v>0</v>
      </c>
    </row>
    <row r="65" spans="4:15">
      <c r="D65" s="12"/>
      <c r="O65" s="13">
        <v>0</v>
      </c>
    </row>
    <row r="66" spans="4:15">
      <c r="O66" s="13">
        <v>0</v>
      </c>
    </row>
    <row r="67" spans="4:15">
      <c r="O67" s="13">
        <v>0</v>
      </c>
    </row>
    <row r="68" spans="4:15">
      <c r="O68" s="13">
        <v>0</v>
      </c>
    </row>
    <row r="69" spans="4:15">
      <c r="O69" s="13">
        <v>0</v>
      </c>
    </row>
    <row r="70" spans="4:15">
      <c r="O70" s="13">
        <v>7260.29</v>
      </c>
    </row>
  </sheetData>
  <mergeCells count="70">
    <mergeCell ref="B1:C1"/>
    <mergeCell ref="D1:G1"/>
    <mergeCell ref="H1:I1"/>
    <mergeCell ref="D2:G2"/>
    <mergeCell ref="B3:C3"/>
    <mergeCell ref="D3:I3"/>
    <mergeCell ref="D11:G11"/>
    <mergeCell ref="B4:C4"/>
    <mergeCell ref="D4:I4"/>
    <mergeCell ref="B5:C5"/>
    <mergeCell ref="D5:I5"/>
    <mergeCell ref="B6:C6"/>
    <mergeCell ref="D6:I6"/>
    <mergeCell ref="B7:C7"/>
    <mergeCell ref="D7:G7"/>
    <mergeCell ref="B8:I8"/>
    <mergeCell ref="B9:I9"/>
    <mergeCell ref="D10:G10"/>
    <mergeCell ref="D23:G23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B35:I35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B34:I34"/>
    <mergeCell ref="B46:C46"/>
    <mergeCell ref="D46:G46"/>
    <mergeCell ref="H46:I46"/>
    <mergeCell ref="D36:G36"/>
    <mergeCell ref="B37:G37"/>
    <mergeCell ref="B38:C41"/>
    <mergeCell ref="D38:G41"/>
    <mergeCell ref="B42:I42"/>
    <mergeCell ref="B43:I43"/>
    <mergeCell ref="B44:C44"/>
    <mergeCell ref="D44:G44"/>
    <mergeCell ref="H44:I45"/>
    <mergeCell ref="B45:C45"/>
    <mergeCell ref="D45:G45"/>
    <mergeCell ref="B47:C47"/>
    <mergeCell ref="E47:G47"/>
    <mergeCell ref="H47:I49"/>
    <mergeCell ref="B48:C49"/>
    <mergeCell ref="E48:G48"/>
    <mergeCell ref="E49:G49"/>
    <mergeCell ref="B53:I53"/>
    <mergeCell ref="B54:I54"/>
    <mergeCell ref="B50:C50"/>
    <mergeCell ref="D50:G50"/>
    <mergeCell ref="H50:I50"/>
    <mergeCell ref="B51:C51"/>
    <mergeCell ref="D51:I51"/>
    <mergeCell ref="B52:I52"/>
  </mergeCells>
  <conditionalFormatting sqref="L9:L33">
    <cfRule type="expression" dxfId="1" priority="1" stopIfTrue="1">
      <formula>#REF!="Error"</formula>
    </cfRule>
  </conditionalFormatting>
  <conditionalFormatting sqref="L36">
    <cfRule type="expression" dxfId="0" priority="2" stopIfTrue="1">
      <formula>#REF!="Error"</formula>
    </cfRule>
  </conditionalFormatting>
  <pageMargins left="0.51181102362204722" right="0.31496062992125984" top="0.35433070866141736" bottom="0.35433070866141736" header="0.31496062992125984" footer="0.31496062992125984"/>
  <pageSetup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547CA2FF965A4C80EB07F287D979E7" ma:contentTypeVersion="10" ma:contentTypeDescription="Crear nuevo documento." ma:contentTypeScope="" ma:versionID="3718dd2570825cf9a196332c15bc119e">
  <xsd:schema xmlns:xsd="http://www.w3.org/2001/XMLSchema" xmlns:xs="http://www.w3.org/2001/XMLSchema" xmlns:p="http://schemas.microsoft.com/office/2006/metadata/properties" xmlns:ns2="191f0433-4340-49e3-8edc-6d054b86f571" xmlns:ns3="2db42678-26b6-42c6-94f3-e76c9422a724" targetNamespace="http://schemas.microsoft.com/office/2006/metadata/properties" ma:root="true" ma:fieldsID="a52c3a219175fc9d9ee80eaaacecf805" ns2:_="" ns3:_="">
    <xsd:import namespace="191f0433-4340-49e3-8edc-6d054b86f571"/>
    <xsd:import namespace="2db42678-26b6-42c6-94f3-e76c9422a7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f0433-4340-49e3-8edc-6d054b86f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cc70b3-40e2-4473-832f-85343e566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42678-26b6-42c6-94f3-e76c9422a7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c1447d-af60-4db2-ada3-dd38ef464ea1}" ma:internalName="TaxCatchAll" ma:showField="CatchAllData" ma:web="2db42678-26b6-42c6-94f3-e76c9422a7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f0433-4340-49e3-8edc-6d054b86f571">
      <Terms xmlns="http://schemas.microsoft.com/office/infopath/2007/PartnerControls"/>
    </lcf76f155ced4ddcb4097134ff3c332f>
    <TaxCatchAll xmlns="2db42678-26b6-42c6-94f3-e76c9422a724" xsi:nil="true"/>
  </documentManagement>
</p:properties>
</file>

<file path=customXml/itemProps1.xml><?xml version="1.0" encoding="utf-8"?>
<ds:datastoreItem xmlns:ds="http://schemas.openxmlformats.org/officeDocument/2006/customXml" ds:itemID="{EEB53A2B-CBEA-4787-9780-D59E4CF14CBC}"/>
</file>

<file path=customXml/itemProps2.xml><?xml version="1.0" encoding="utf-8"?>
<ds:datastoreItem xmlns:ds="http://schemas.openxmlformats.org/officeDocument/2006/customXml" ds:itemID="{555D0BC5-E27D-414D-81F6-66963F82EDBF}"/>
</file>

<file path=customXml/itemProps3.xml><?xml version="1.0" encoding="utf-8"?>
<ds:datastoreItem xmlns:ds="http://schemas.openxmlformats.org/officeDocument/2006/customXml" ds:itemID="{F659ACED-CF4D-4343-A06D-4FAF175D7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Final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carlosmora</dc:creator>
  <cp:keywords/>
  <dc:description/>
  <cp:lastModifiedBy>Arlex Cardona</cp:lastModifiedBy>
  <cp:revision/>
  <dcterms:created xsi:type="dcterms:W3CDTF">2007-05-28T21:44:00Z</dcterms:created>
  <dcterms:modified xsi:type="dcterms:W3CDTF">2026-10-25T17:56:27Z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1230F21AF6E3440A9402D46F4D433D26_13</vt:lpwstr>
  </property>
  <property fmtid="{D5CDD505-2E9C-101B-9397-08002B2CF9AE}" pid="3" name="KSOProductBuildVer">
    <vt:lpwstr>2058-12.2.0.17119</vt:lpwstr>
  </property>
  <property fmtid="{D5CDD505-2E9C-101B-9397-08002B2CF9AE}" pid="4" name="ContentTypeId">
    <vt:lpwstr>0x010100D5547CA2FF965A4C80EB07F287D979E7</vt:lpwstr>
  </property>
  <property fmtid="{D5CDD505-2E9C-101B-9397-08002B2CF9AE}" pid="5" name="MediaServiceImageTags">
    <vt:lpwstr/>
  </property>
</Properties>
</file>